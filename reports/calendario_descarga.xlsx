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OneDrive - Universidad de los andes\Documentos\TESIS\TUISCEModelsAI\reports\"/>
    </mc:Choice>
  </mc:AlternateContent>
  <xr:revisionPtr revIDLastSave="0" documentId="8_{D5160686-1927-41E2-A0AA-81CF1E08EC01}" xr6:coauthVersionLast="47" xr6:coauthVersionMax="47" xr10:uidLastSave="{00000000-0000-0000-0000-000000000000}"/>
  <bookViews>
    <workbookView xWindow="-103" yWindow="-103" windowWidth="26537" windowHeight="15943" xr2:uid="{A1F54D3A-7489-4CC3-B9D6-E9ABADB6A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L4" i="1"/>
  <c r="AM4" i="1"/>
  <c r="AN4" i="1"/>
  <c r="AO4" i="1"/>
  <c r="AP4" i="1"/>
  <c r="AQ4" i="1"/>
  <c r="AR4" i="1"/>
  <c r="AS4" i="1"/>
  <c r="AT4" i="1"/>
  <c r="AU4" i="1"/>
  <c r="AL5" i="1"/>
  <c r="AM5" i="1"/>
  <c r="AN5" i="1"/>
  <c r="AO5" i="1"/>
  <c r="AP5" i="1"/>
  <c r="AQ5" i="1"/>
  <c r="AR5" i="1"/>
  <c r="AS5" i="1"/>
  <c r="AT5" i="1"/>
  <c r="AU5" i="1"/>
  <c r="AL6" i="1"/>
  <c r="AM6" i="1"/>
  <c r="AN6" i="1"/>
  <c r="AO6" i="1"/>
  <c r="AP6" i="1"/>
  <c r="AQ6" i="1"/>
  <c r="AR6" i="1"/>
  <c r="AS6" i="1"/>
  <c r="AT6" i="1"/>
  <c r="AU6" i="1"/>
  <c r="AL7" i="1"/>
  <c r="AM7" i="1"/>
  <c r="AN7" i="1"/>
  <c r="AO7" i="1"/>
  <c r="AP7" i="1"/>
  <c r="AQ7" i="1"/>
  <c r="AR7" i="1"/>
  <c r="AS7" i="1"/>
  <c r="AT7" i="1"/>
  <c r="AU7" i="1"/>
  <c r="AL8" i="1"/>
  <c r="AM8" i="1"/>
  <c r="AN8" i="1"/>
  <c r="AO8" i="1"/>
  <c r="AP8" i="1"/>
  <c r="AQ8" i="1"/>
  <c r="AR8" i="1"/>
  <c r="AS8" i="1"/>
  <c r="AT8" i="1"/>
  <c r="AU8" i="1"/>
  <c r="AL9" i="1"/>
  <c r="AM9" i="1"/>
  <c r="AN9" i="1"/>
  <c r="AO9" i="1"/>
  <c r="AP9" i="1"/>
  <c r="AQ9" i="1"/>
  <c r="AR9" i="1"/>
  <c r="AS9" i="1"/>
  <c r="AT9" i="1"/>
  <c r="AU9" i="1"/>
  <c r="AL10" i="1"/>
  <c r="AM10" i="1"/>
  <c r="AN10" i="1"/>
  <c r="AO10" i="1"/>
  <c r="AP10" i="1"/>
  <c r="AQ10" i="1"/>
  <c r="AR10" i="1"/>
  <c r="AS10" i="1"/>
  <c r="AT10" i="1"/>
  <c r="AU10" i="1"/>
  <c r="AL11" i="1"/>
  <c r="AM11" i="1"/>
  <c r="AN11" i="1"/>
  <c r="AO11" i="1"/>
  <c r="AP11" i="1"/>
  <c r="AQ11" i="1"/>
  <c r="AR11" i="1"/>
  <c r="AS11" i="1"/>
  <c r="AT11" i="1"/>
  <c r="AU11" i="1"/>
  <c r="AL12" i="1"/>
  <c r="AM12" i="1"/>
  <c r="AN12" i="1"/>
  <c r="AO12" i="1"/>
  <c r="AP12" i="1"/>
  <c r="AQ12" i="1"/>
  <c r="AR12" i="1"/>
  <c r="AS12" i="1"/>
  <c r="AT12" i="1"/>
  <c r="AU12" i="1"/>
  <c r="AL13" i="1"/>
  <c r="AM13" i="1"/>
  <c r="AN13" i="1"/>
  <c r="AO13" i="1"/>
  <c r="AP13" i="1"/>
  <c r="AQ13" i="1"/>
  <c r="AR13" i="1"/>
  <c r="AS13" i="1"/>
  <c r="AT13" i="1"/>
  <c r="AU13" i="1"/>
  <c r="AL14" i="1"/>
  <c r="AM14" i="1"/>
  <c r="AN14" i="1"/>
  <c r="AO14" i="1"/>
  <c r="AP14" i="1"/>
  <c r="AQ14" i="1"/>
  <c r="AR14" i="1"/>
  <c r="AS14" i="1"/>
  <c r="AT14" i="1"/>
  <c r="AU14" i="1"/>
  <c r="AL15" i="1"/>
  <c r="AM15" i="1"/>
  <c r="AN15" i="1"/>
  <c r="AO15" i="1"/>
  <c r="AP15" i="1"/>
  <c r="AQ15" i="1"/>
  <c r="AR15" i="1"/>
  <c r="AS15" i="1"/>
  <c r="AT15" i="1"/>
  <c r="AU15" i="1"/>
  <c r="AL16" i="1"/>
  <c r="AM16" i="1"/>
  <c r="AN16" i="1"/>
  <c r="AO16" i="1"/>
  <c r="AP16" i="1"/>
  <c r="AQ16" i="1"/>
  <c r="AR16" i="1"/>
  <c r="AS16" i="1"/>
  <c r="AT16" i="1"/>
  <c r="AU16" i="1"/>
  <c r="AL17" i="1"/>
  <c r="AM17" i="1"/>
  <c r="AN17" i="1"/>
  <c r="AO17" i="1"/>
  <c r="AP17" i="1"/>
  <c r="AQ17" i="1"/>
  <c r="AR17" i="1"/>
  <c r="AS17" i="1"/>
  <c r="AT17" i="1"/>
  <c r="AU17" i="1"/>
  <c r="AM3" i="1"/>
  <c r="AN3" i="1"/>
  <c r="AO3" i="1"/>
  <c r="AP3" i="1"/>
  <c r="AQ3" i="1"/>
  <c r="AR3" i="1"/>
  <c r="AS3" i="1"/>
  <c r="AT3" i="1"/>
  <c r="AU3" i="1"/>
  <c r="AL3" i="1"/>
  <c r="AB4" i="1"/>
  <c r="AC4" i="1"/>
  <c r="AD4" i="1"/>
  <c r="AE4" i="1"/>
  <c r="AF4" i="1"/>
  <c r="AG4" i="1"/>
  <c r="AH4" i="1"/>
  <c r="AI4" i="1"/>
  <c r="AJ4" i="1"/>
  <c r="AK4" i="1"/>
  <c r="AB5" i="1"/>
  <c r="AC5" i="1"/>
  <c r="AD5" i="1"/>
  <c r="AE5" i="1"/>
  <c r="AF5" i="1"/>
  <c r="AG5" i="1"/>
  <c r="AH5" i="1"/>
  <c r="AI5" i="1"/>
  <c r="AJ5" i="1"/>
  <c r="AK5" i="1"/>
  <c r="AB6" i="1"/>
  <c r="AC6" i="1"/>
  <c r="AD6" i="1"/>
  <c r="AE6" i="1"/>
  <c r="AF6" i="1"/>
  <c r="AG6" i="1"/>
  <c r="AH6" i="1"/>
  <c r="AI6" i="1"/>
  <c r="AJ6" i="1"/>
  <c r="AK6" i="1"/>
  <c r="AB7" i="1"/>
  <c r="AC7" i="1"/>
  <c r="AD7" i="1"/>
  <c r="AE7" i="1"/>
  <c r="AF7" i="1"/>
  <c r="AG7" i="1"/>
  <c r="AH7" i="1"/>
  <c r="AI7" i="1"/>
  <c r="AJ7" i="1"/>
  <c r="AK7" i="1"/>
  <c r="AB8" i="1"/>
  <c r="AC8" i="1"/>
  <c r="AD8" i="1"/>
  <c r="AE8" i="1"/>
  <c r="AF8" i="1"/>
  <c r="AG8" i="1"/>
  <c r="AH8" i="1"/>
  <c r="AI8" i="1"/>
  <c r="AJ8" i="1"/>
  <c r="AK8" i="1"/>
  <c r="AB9" i="1"/>
  <c r="AC9" i="1"/>
  <c r="AD9" i="1"/>
  <c r="AE9" i="1"/>
  <c r="AF9" i="1"/>
  <c r="AG9" i="1"/>
  <c r="AH9" i="1"/>
  <c r="AI9" i="1"/>
  <c r="AJ9" i="1"/>
  <c r="AK9" i="1"/>
  <c r="AB10" i="1"/>
  <c r="AC10" i="1"/>
  <c r="AD10" i="1"/>
  <c r="AE10" i="1"/>
  <c r="AF10" i="1"/>
  <c r="AG10" i="1"/>
  <c r="AH10" i="1"/>
  <c r="AI10" i="1"/>
  <c r="AJ10" i="1"/>
  <c r="AK10" i="1"/>
  <c r="AB11" i="1"/>
  <c r="AC11" i="1"/>
  <c r="AD11" i="1"/>
  <c r="AE11" i="1"/>
  <c r="AF11" i="1"/>
  <c r="AG11" i="1"/>
  <c r="AH11" i="1"/>
  <c r="AI11" i="1"/>
  <c r="AJ11" i="1"/>
  <c r="AK11" i="1"/>
  <c r="AB12" i="1"/>
  <c r="AC12" i="1"/>
  <c r="AD12" i="1"/>
  <c r="AE12" i="1"/>
  <c r="AF12" i="1"/>
  <c r="AG12" i="1"/>
  <c r="AH12" i="1"/>
  <c r="AI12" i="1"/>
  <c r="AJ12" i="1"/>
  <c r="AK12" i="1"/>
  <c r="AB13" i="1"/>
  <c r="AC13" i="1"/>
  <c r="AD13" i="1"/>
  <c r="AE13" i="1"/>
  <c r="AF13" i="1"/>
  <c r="AG13" i="1"/>
  <c r="AH13" i="1"/>
  <c r="AI13" i="1"/>
  <c r="AJ13" i="1"/>
  <c r="AK13" i="1"/>
  <c r="AB14" i="1"/>
  <c r="AC14" i="1"/>
  <c r="AD14" i="1"/>
  <c r="AE14" i="1"/>
  <c r="AF14" i="1"/>
  <c r="AG14" i="1"/>
  <c r="AH14" i="1"/>
  <c r="AI14" i="1"/>
  <c r="AJ14" i="1"/>
  <c r="AK14" i="1"/>
  <c r="AB15" i="1"/>
  <c r="AC15" i="1"/>
  <c r="AD15" i="1"/>
  <c r="AE15" i="1"/>
  <c r="AF15" i="1"/>
  <c r="AG15" i="1"/>
  <c r="AH15" i="1"/>
  <c r="AI15" i="1"/>
  <c r="AJ15" i="1"/>
  <c r="AK15" i="1"/>
  <c r="AB16" i="1"/>
  <c r="AC16" i="1"/>
  <c r="AD16" i="1"/>
  <c r="AE16" i="1"/>
  <c r="AF16" i="1"/>
  <c r="AG16" i="1"/>
  <c r="AH16" i="1"/>
  <c r="AI16" i="1"/>
  <c r="AJ16" i="1"/>
  <c r="AK16" i="1"/>
  <c r="AB17" i="1"/>
  <c r="AC17" i="1"/>
  <c r="AD17" i="1"/>
  <c r="AE17" i="1"/>
  <c r="AF17" i="1"/>
  <c r="AG17" i="1"/>
  <c r="AH17" i="1"/>
  <c r="AI17" i="1"/>
  <c r="AJ17" i="1"/>
  <c r="AK17" i="1"/>
  <c r="AC3" i="1"/>
  <c r="AD3" i="1"/>
  <c r="AE3" i="1"/>
  <c r="AF3" i="1"/>
  <c r="AG3" i="1"/>
  <c r="AH3" i="1"/>
  <c r="AI3" i="1"/>
  <c r="AJ3" i="1"/>
  <c r="AK3" i="1"/>
  <c r="R4" i="1"/>
  <c r="S4" i="1"/>
  <c r="T4" i="1"/>
  <c r="U4" i="1"/>
  <c r="V4" i="1"/>
  <c r="W4" i="1"/>
  <c r="X4" i="1"/>
  <c r="Y4" i="1"/>
  <c r="Z4" i="1"/>
  <c r="AA4" i="1"/>
  <c r="R5" i="1"/>
  <c r="S5" i="1"/>
  <c r="T5" i="1"/>
  <c r="U5" i="1"/>
  <c r="V5" i="1"/>
  <c r="W5" i="1"/>
  <c r="X5" i="1"/>
  <c r="Y5" i="1"/>
  <c r="Z5" i="1"/>
  <c r="AA5" i="1"/>
  <c r="R6" i="1"/>
  <c r="S6" i="1"/>
  <c r="T6" i="1"/>
  <c r="U6" i="1"/>
  <c r="V6" i="1"/>
  <c r="W6" i="1"/>
  <c r="X6" i="1"/>
  <c r="Y6" i="1"/>
  <c r="Z6" i="1"/>
  <c r="AA6" i="1"/>
  <c r="R7" i="1"/>
  <c r="S7" i="1"/>
  <c r="T7" i="1"/>
  <c r="U7" i="1"/>
  <c r="V7" i="1"/>
  <c r="W7" i="1"/>
  <c r="X7" i="1"/>
  <c r="Y7" i="1"/>
  <c r="Z7" i="1"/>
  <c r="AA7" i="1"/>
  <c r="R8" i="1"/>
  <c r="S8" i="1"/>
  <c r="T8" i="1"/>
  <c r="U8" i="1"/>
  <c r="V8" i="1"/>
  <c r="W8" i="1"/>
  <c r="X8" i="1"/>
  <c r="Y8" i="1"/>
  <c r="Z8" i="1"/>
  <c r="AA8" i="1"/>
  <c r="R9" i="1"/>
  <c r="S9" i="1"/>
  <c r="T9" i="1"/>
  <c r="U9" i="1"/>
  <c r="V9" i="1"/>
  <c r="W9" i="1"/>
  <c r="X9" i="1"/>
  <c r="Y9" i="1"/>
  <c r="Z9" i="1"/>
  <c r="AA9" i="1"/>
  <c r="R10" i="1"/>
  <c r="S10" i="1"/>
  <c r="T10" i="1"/>
  <c r="U10" i="1"/>
  <c r="V10" i="1"/>
  <c r="W10" i="1"/>
  <c r="X10" i="1"/>
  <c r="Y10" i="1"/>
  <c r="Z10" i="1"/>
  <c r="AA10" i="1"/>
  <c r="R11" i="1"/>
  <c r="S11" i="1"/>
  <c r="T11" i="1"/>
  <c r="U11" i="1"/>
  <c r="V11" i="1"/>
  <c r="W11" i="1"/>
  <c r="X11" i="1"/>
  <c r="Y11" i="1"/>
  <c r="Z11" i="1"/>
  <c r="AA11" i="1"/>
  <c r="R12" i="1"/>
  <c r="S12" i="1"/>
  <c r="T12" i="1"/>
  <c r="U12" i="1"/>
  <c r="V12" i="1"/>
  <c r="W12" i="1"/>
  <c r="X12" i="1"/>
  <c r="Y12" i="1"/>
  <c r="Z12" i="1"/>
  <c r="AA12" i="1"/>
  <c r="R13" i="1"/>
  <c r="S13" i="1"/>
  <c r="T13" i="1"/>
  <c r="U13" i="1"/>
  <c r="V13" i="1"/>
  <c r="W13" i="1"/>
  <c r="X13" i="1"/>
  <c r="Y13" i="1"/>
  <c r="Z13" i="1"/>
  <c r="AA13" i="1"/>
  <c r="R14" i="1"/>
  <c r="S14" i="1"/>
  <c r="T14" i="1"/>
  <c r="U14" i="1"/>
  <c r="V14" i="1"/>
  <c r="W14" i="1"/>
  <c r="X14" i="1"/>
  <c r="Y14" i="1"/>
  <c r="Z14" i="1"/>
  <c r="AA14" i="1"/>
  <c r="R15" i="1"/>
  <c r="S15" i="1"/>
  <c r="T15" i="1"/>
  <c r="U15" i="1"/>
  <c r="V15" i="1"/>
  <c r="W15" i="1"/>
  <c r="X15" i="1"/>
  <c r="Y15" i="1"/>
  <c r="Z15" i="1"/>
  <c r="AA15" i="1"/>
  <c r="R16" i="1"/>
  <c r="S16" i="1"/>
  <c r="T16" i="1"/>
  <c r="U16" i="1"/>
  <c r="V16" i="1"/>
  <c r="W16" i="1"/>
  <c r="X16" i="1"/>
  <c r="Y16" i="1"/>
  <c r="Z16" i="1"/>
  <c r="AA16" i="1"/>
  <c r="R17" i="1"/>
  <c r="S17" i="1"/>
  <c r="T17" i="1"/>
  <c r="U17" i="1"/>
  <c r="V17" i="1"/>
  <c r="W17" i="1"/>
  <c r="X17" i="1"/>
  <c r="Y17" i="1"/>
  <c r="Z17" i="1"/>
  <c r="AA17" i="1"/>
  <c r="S3" i="1"/>
  <c r="T3" i="1"/>
  <c r="U3" i="1"/>
  <c r="V3" i="1"/>
  <c r="W3" i="1"/>
  <c r="X3" i="1"/>
  <c r="Y3" i="1"/>
  <c r="Z3" i="1"/>
  <c r="AA3" i="1"/>
  <c r="R3" i="1"/>
  <c r="G3" i="1"/>
  <c r="H3" i="1"/>
  <c r="AB3" i="1"/>
  <c r="H18" i="1"/>
  <c r="I18" i="1"/>
  <c r="J18" i="1"/>
  <c r="K18" i="1"/>
  <c r="L18" i="1"/>
  <c r="M18" i="1"/>
  <c r="N18" i="1"/>
  <c r="O18" i="1"/>
  <c r="P18" i="1"/>
  <c r="Q18" i="1"/>
  <c r="I4" i="1"/>
  <c r="H4" i="1"/>
  <c r="J4" i="1"/>
  <c r="K4" i="1"/>
  <c r="L4" i="1"/>
  <c r="M4" i="1"/>
  <c r="N4" i="1"/>
  <c r="O4" i="1"/>
  <c r="P4" i="1"/>
  <c r="Q4" i="1"/>
  <c r="H5" i="1"/>
  <c r="I5" i="1"/>
  <c r="J5" i="1"/>
  <c r="K5" i="1"/>
  <c r="L5" i="1"/>
  <c r="M5" i="1"/>
  <c r="N5" i="1"/>
  <c r="O5" i="1"/>
  <c r="P5" i="1"/>
  <c r="Q5" i="1"/>
  <c r="H6" i="1"/>
  <c r="I6" i="1"/>
  <c r="J6" i="1"/>
  <c r="K6" i="1"/>
  <c r="L6" i="1"/>
  <c r="M6" i="1"/>
  <c r="N6" i="1"/>
  <c r="O6" i="1"/>
  <c r="P6" i="1"/>
  <c r="Q6" i="1"/>
  <c r="H7" i="1"/>
  <c r="I7" i="1"/>
  <c r="J7" i="1"/>
  <c r="K7" i="1"/>
  <c r="L7" i="1"/>
  <c r="M7" i="1"/>
  <c r="N7" i="1"/>
  <c r="O7" i="1"/>
  <c r="P7" i="1"/>
  <c r="Q7" i="1"/>
  <c r="H8" i="1"/>
  <c r="I8" i="1"/>
  <c r="J8" i="1"/>
  <c r="K8" i="1"/>
  <c r="L8" i="1"/>
  <c r="M8" i="1"/>
  <c r="N8" i="1"/>
  <c r="O8" i="1"/>
  <c r="P8" i="1"/>
  <c r="Q8" i="1"/>
  <c r="H9" i="1"/>
  <c r="I9" i="1"/>
  <c r="J9" i="1"/>
  <c r="K9" i="1"/>
  <c r="L9" i="1"/>
  <c r="M9" i="1"/>
  <c r="N9" i="1"/>
  <c r="O9" i="1"/>
  <c r="P9" i="1"/>
  <c r="Q9" i="1"/>
  <c r="H10" i="1"/>
  <c r="I10" i="1"/>
  <c r="J10" i="1"/>
  <c r="K10" i="1"/>
  <c r="L10" i="1"/>
  <c r="M10" i="1"/>
  <c r="N10" i="1"/>
  <c r="O10" i="1"/>
  <c r="P10" i="1"/>
  <c r="Q10" i="1"/>
  <c r="H11" i="1"/>
  <c r="I11" i="1"/>
  <c r="J11" i="1"/>
  <c r="K11" i="1"/>
  <c r="L11" i="1"/>
  <c r="M11" i="1"/>
  <c r="N11" i="1"/>
  <c r="O11" i="1"/>
  <c r="P11" i="1"/>
  <c r="Q11" i="1"/>
  <c r="H12" i="1"/>
  <c r="I12" i="1"/>
  <c r="J12" i="1"/>
  <c r="K12" i="1"/>
  <c r="L12" i="1"/>
  <c r="M12" i="1"/>
  <c r="N12" i="1"/>
  <c r="O12" i="1"/>
  <c r="P12" i="1"/>
  <c r="Q12" i="1"/>
  <c r="H13" i="1"/>
  <c r="I13" i="1"/>
  <c r="J13" i="1"/>
  <c r="K13" i="1"/>
  <c r="L13" i="1"/>
  <c r="M13" i="1"/>
  <c r="N13" i="1"/>
  <c r="O13" i="1"/>
  <c r="P13" i="1"/>
  <c r="Q13" i="1"/>
  <c r="H14" i="1"/>
  <c r="I14" i="1"/>
  <c r="J14" i="1"/>
  <c r="K14" i="1"/>
  <c r="L14" i="1"/>
  <c r="M14" i="1"/>
  <c r="N14" i="1"/>
  <c r="O14" i="1"/>
  <c r="P14" i="1"/>
  <c r="Q14" i="1"/>
  <c r="H15" i="1"/>
  <c r="I15" i="1"/>
  <c r="J15" i="1"/>
  <c r="K15" i="1"/>
  <c r="L15" i="1"/>
  <c r="M15" i="1"/>
  <c r="N15" i="1"/>
  <c r="O15" i="1"/>
  <c r="P15" i="1"/>
  <c r="Q15" i="1"/>
  <c r="H16" i="1"/>
  <c r="I16" i="1"/>
  <c r="J16" i="1"/>
  <c r="K16" i="1"/>
  <c r="L16" i="1"/>
  <c r="M16" i="1"/>
  <c r="N16" i="1"/>
  <c r="O16" i="1"/>
  <c r="P16" i="1"/>
  <c r="Q16" i="1"/>
  <c r="H17" i="1"/>
  <c r="I17" i="1"/>
  <c r="J17" i="1"/>
  <c r="K17" i="1"/>
  <c r="L17" i="1"/>
  <c r="M17" i="1"/>
  <c r="N17" i="1"/>
  <c r="O17" i="1"/>
  <c r="P17" i="1"/>
  <c r="Q17" i="1"/>
  <c r="I3" i="1"/>
  <c r="J3" i="1"/>
  <c r="K3" i="1"/>
  <c r="L3" i="1"/>
  <c r="M3" i="1"/>
  <c r="N3" i="1"/>
  <c r="O3" i="1"/>
  <c r="P3" i="1"/>
  <c r="Q3" i="1"/>
  <c r="G1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A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E18" i="1"/>
  <c r="F18" i="1" l="1"/>
</calcChain>
</file>

<file path=xl/sharedStrings.xml><?xml version="1.0" encoding="utf-8"?>
<sst xmlns="http://schemas.openxmlformats.org/spreadsheetml/2006/main" count="30" uniqueCount="26">
  <si>
    <t>SOACHA</t>
  </si>
  <si>
    <t>PORTAl_SUR</t>
  </si>
  <si>
    <t>Potosi</t>
  </si>
  <si>
    <t>Santa Viviana</t>
  </si>
  <si>
    <t>Tres Reyes</t>
  </si>
  <si>
    <t>SAN CRISTOBAL</t>
  </si>
  <si>
    <t>Portal 20 de Julio</t>
  </si>
  <si>
    <t>La victoria</t>
  </si>
  <si>
    <t>Altamira</t>
  </si>
  <si>
    <t>Municipio</t>
  </si>
  <si>
    <t>Barrio</t>
  </si>
  <si>
    <t>N_poligonos</t>
  </si>
  <si>
    <t>Tandas de 40</t>
  </si>
  <si>
    <t>CIUDAD BOLIVAR</t>
  </si>
  <si>
    <t>Juna Pablo II</t>
  </si>
  <si>
    <t>Manitas</t>
  </si>
  <si>
    <t>Mirador del Paraiso</t>
  </si>
  <si>
    <t>Portal del Tunal</t>
  </si>
  <si>
    <t>TOTAL</t>
  </si>
  <si>
    <t>-</t>
  </si>
  <si>
    <t>Tiempo Una Tanda</t>
  </si>
  <si>
    <t>Tiempo</t>
  </si>
  <si>
    <t>Segundos</t>
  </si>
  <si>
    <t>Minutos</t>
  </si>
  <si>
    <t>Horas</t>
  </si>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</sst>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2" fillId="0" borderId="1" xfId="0" applyFont="1" applyBorder="1"/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/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0" fillId="5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0" fillId="6" borderId="1" xfId="0" applyFill="1" applyBorder="1"/>
    <xf numFmtId="0" fontId="0" fillId="0" borderId="2" xfId="0" applyFill="1" applyBorder="1"/>
    <xf numFmtId="0" fontId="0" fillId="5" borderId="2" xfId="0" applyFill="1" applyBorder="1"/>
    <xf numFmtId="0" fontId="0" fillId="3" borderId="2" xfId="0" applyFill="1" applyBorder="1"/>
    <xf numFmtId="0" fontId="0" fillId="6" borderId="2" xfId="0" applyFill="1" applyBorder="1"/>
    <xf numFmtId="0" fontId="2" fillId="0" borderId="2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8ECD-02DD-4976-BA7C-1C039654DB79}">
  <dimension ref="A1:AV18"/>
  <sheetViews>
    <sheetView tabSelected="1" workbookViewId="0">
      <selection activeCell="AV1" sqref="AV1:AV1048576"/>
    </sheetView>
  </sheetViews>
  <sheetFormatPr defaultRowHeight="14.6" x14ac:dyDescent="0.4"/>
  <cols>
    <col min="1" max="2" width="14.15234375" customWidth="1"/>
    <col min="3" max="3" width="24.3046875" customWidth="1"/>
    <col min="4" max="4" width="23.23046875" customWidth="1"/>
    <col min="5" max="5" width="21.3046875" customWidth="1"/>
    <col min="6" max="6" width="20.3828125" customWidth="1"/>
    <col min="7" max="7" width="16.53515625" customWidth="1"/>
    <col min="48" max="48" width="9.23046875" style="25"/>
  </cols>
  <sheetData>
    <row r="1" spans="1:47" x14ac:dyDescent="0.4">
      <c r="H1" s="8" t="s">
        <v>22</v>
      </c>
      <c r="I1" s="8"/>
      <c r="J1" s="8"/>
      <c r="K1" s="8"/>
      <c r="L1" s="8"/>
      <c r="M1" s="8"/>
      <c r="N1" s="8"/>
      <c r="O1" s="8"/>
      <c r="P1" s="8"/>
      <c r="Q1" s="8"/>
      <c r="R1" s="6" t="s">
        <v>23</v>
      </c>
      <c r="S1" s="6"/>
      <c r="T1" s="6"/>
      <c r="U1" s="6"/>
      <c r="V1" s="6"/>
      <c r="W1" s="6"/>
      <c r="X1" s="6"/>
      <c r="Y1" s="6"/>
      <c r="Z1" s="6"/>
      <c r="AA1" s="6"/>
      <c r="AB1" s="6" t="s">
        <v>24</v>
      </c>
      <c r="AC1" s="6"/>
      <c r="AD1" s="6"/>
      <c r="AE1" s="6"/>
      <c r="AF1" s="6"/>
      <c r="AG1" s="6"/>
      <c r="AH1" s="6"/>
      <c r="AI1" s="6"/>
      <c r="AJ1" s="6"/>
      <c r="AK1" s="6"/>
      <c r="AL1" s="6" t="s">
        <v>25</v>
      </c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4">
      <c r="A2" t="s">
        <v>21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20</v>
      </c>
      <c r="H2" s="9">
        <v>10</v>
      </c>
      <c r="I2" s="1">
        <v>9</v>
      </c>
      <c r="J2" s="1">
        <v>8</v>
      </c>
      <c r="K2" s="1">
        <v>7</v>
      </c>
      <c r="L2" s="1">
        <v>6</v>
      </c>
      <c r="M2" s="1">
        <v>5</v>
      </c>
      <c r="N2" s="1">
        <v>4</v>
      </c>
      <c r="O2" s="1">
        <v>3</v>
      </c>
      <c r="P2" s="1">
        <v>2</v>
      </c>
      <c r="Q2" s="5">
        <v>1</v>
      </c>
      <c r="R2" s="9">
        <v>10</v>
      </c>
      <c r="S2" s="7">
        <v>9</v>
      </c>
      <c r="T2" s="7">
        <v>8</v>
      </c>
      <c r="U2" s="7">
        <v>7</v>
      </c>
      <c r="V2" s="7">
        <v>6</v>
      </c>
      <c r="W2" s="7">
        <v>5</v>
      </c>
      <c r="X2" s="7">
        <v>4</v>
      </c>
      <c r="Y2" s="7">
        <v>3</v>
      </c>
      <c r="Z2" s="7">
        <v>2</v>
      </c>
      <c r="AA2" s="7">
        <v>1</v>
      </c>
      <c r="AB2" s="9">
        <v>10</v>
      </c>
      <c r="AC2" s="7">
        <v>9</v>
      </c>
      <c r="AD2" s="7">
        <v>8</v>
      </c>
      <c r="AE2" s="7">
        <v>7</v>
      </c>
      <c r="AF2" s="7">
        <v>6</v>
      </c>
      <c r="AG2" s="7">
        <v>5</v>
      </c>
      <c r="AH2" s="7">
        <v>4</v>
      </c>
      <c r="AI2" s="7">
        <v>3</v>
      </c>
      <c r="AJ2" s="7">
        <v>2</v>
      </c>
      <c r="AK2" s="7">
        <v>1</v>
      </c>
      <c r="AL2" s="9">
        <v>10</v>
      </c>
      <c r="AM2" s="7">
        <v>9</v>
      </c>
      <c r="AN2" s="7">
        <v>8</v>
      </c>
      <c r="AO2" s="7">
        <v>7</v>
      </c>
      <c r="AP2" s="7">
        <v>6</v>
      </c>
      <c r="AQ2" s="7">
        <v>5</v>
      </c>
      <c r="AR2" s="7">
        <v>4</v>
      </c>
      <c r="AS2" s="7">
        <v>3</v>
      </c>
      <c r="AT2" s="7">
        <v>2</v>
      </c>
      <c r="AU2" s="20">
        <v>1</v>
      </c>
    </row>
    <row r="3" spans="1:47" x14ac:dyDescent="0.4">
      <c r="A3" s="1">
        <v>8359.1106379032099</v>
      </c>
      <c r="C3" s="11" t="s">
        <v>0</v>
      </c>
      <c r="D3" s="12" t="s">
        <v>1</v>
      </c>
      <c r="E3" s="13">
        <v>100</v>
      </c>
      <c r="F3" s="13">
        <f>E3/39</f>
        <v>2.5641025641025643</v>
      </c>
      <c r="G3" s="13">
        <f>$A$3*F3</f>
        <v>21433.617020264643</v>
      </c>
      <c r="H3" s="9">
        <f>$G3*H$2</f>
        <v>214336.17020264643</v>
      </c>
      <c r="I3" s="13">
        <f t="shared" ref="I3:Q17" si="0">$G3*I$2</f>
        <v>192902.55318238179</v>
      </c>
      <c r="J3" s="13">
        <f t="shared" si="0"/>
        <v>171468.93616211714</v>
      </c>
      <c r="K3" s="13">
        <f t="shared" si="0"/>
        <v>150035.31914185249</v>
      </c>
      <c r="L3" s="13">
        <f t="shared" si="0"/>
        <v>128601.70212158785</v>
      </c>
      <c r="M3" s="13">
        <f t="shared" si="0"/>
        <v>107168.08510132322</v>
      </c>
      <c r="N3" s="13">
        <f t="shared" si="0"/>
        <v>85734.468081058571</v>
      </c>
      <c r="O3" s="13">
        <f t="shared" si="0"/>
        <v>64300.851060793924</v>
      </c>
      <c r="P3" s="13">
        <f t="shared" si="0"/>
        <v>42867.234040529285</v>
      </c>
      <c r="Q3" s="13">
        <f t="shared" si="0"/>
        <v>21433.617020264643</v>
      </c>
      <c r="R3" s="9">
        <f>($G3*R$2)/60</f>
        <v>3572.2695033774407</v>
      </c>
      <c r="S3" s="13">
        <f t="shared" ref="S3:AA17" si="1">($G3*S$2)/60</f>
        <v>3215.0425530396965</v>
      </c>
      <c r="T3" s="13">
        <f t="shared" si="1"/>
        <v>2857.8156027019522</v>
      </c>
      <c r="U3" s="13">
        <f t="shared" si="1"/>
        <v>2500.5886523642084</v>
      </c>
      <c r="V3" s="13">
        <f t="shared" si="1"/>
        <v>2143.3617020264642</v>
      </c>
      <c r="W3" s="13">
        <f t="shared" si="1"/>
        <v>1786.1347516887204</v>
      </c>
      <c r="X3" s="13">
        <f t="shared" si="1"/>
        <v>1428.9078013509761</v>
      </c>
      <c r="Y3" s="13">
        <f t="shared" si="1"/>
        <v>1071.6808510132321</v>
      </c>
      <c r="Z3" s="13">
        <f t="shared" si="1"/>
        <v>714.45390067548806</v>
      </c>
      <c r="AA3" s="13">
        <f t="shared" si="1"/>
        <v>357.22695033774403</v>
      </c>
      <c r="AB3" s="9">
        <f>(($G3*AB$2)/60)/60</f>
        <v>59.537825056290679</v>
      </c>
      <c r="AC3" s="13">
        <f t="shared" ref="AC3:AK17" si="2">(($G3*AC$2)/60)/60</f>
        <v>53.584042550661607</v>
      </c>
      <c r="AD3" s="13">
        <f t="shared" si="2"/>
        <v>47.630260045032536</v>
      </c>
      <c r="AE3" s="13">
        <f t="shared" si="2"/>
        <v>41.676477539403471</v>
      </c>
      <c r="AF3" s="13">
        <f t="shared" si="2"/>
        <v>35.7226950337744</v>
      </c>
      <c r="AG3" s="13">
        <f t="shared" si="2"/>
        <v>29.768912528145339</v>
      </c>
      <c r="AH3" s="13">
        <f t="shared" si="2"/>
        <v>23.815130022516268</v>
      </c>
      <c r="AI3" s="13">
        <f t="shared" si="2"/>
        <v>17.8613475168872</v>
      </c>
      <c r="AJ3" s="13">
        <f t="shared" si="2"/>
        <v>11.907565011258134</v>
      </c>
      <c r="AK3" s="13">
        <f t="shared" si="2"/>
        <v>5.953782505629067</v>
      </c>
      <c r="AL3" s="9">
        <f>((($G3*AL$2)/60)/60)/24</f>
        <v>2.4807427106787783</v>
      </c>
      <c r="AM3" s="13">
        <f t="shared" ref="AM3:AV17" si="3">((($G3*AM$2)/60)/60)/24</f>
        <v>2.2326684396109004</v>
      </c>
      <c r="AN3" s="13">
        <f t="shared" si="3"/>
        <v>1.9845941685430224</v>
      </c>
      <c r="AO3" s="13">
        <f t="shared" si="3"/>
        <v>1.7365198974751446</v>
      </c>
      <c r="AP3" s="13">
        <f t="shared" si="3"/>
        <v>1.4884456264072667</v>
      </c>
      <c r="AQ3" s="13">
        <f t="shared" si="3"/>
        <v>1.2403713553393891</v>
      </c>
      <c r="AR3" s="13">
        <f t="shared" si="3"/>
        <v>0.9922970842715112</v>
      </c>
      <c r="AS3" s="13">
        <f t="shared" si="3"/>
        <v>0.74422281320363337</v>
      </c>
      <c r="AT3" s="13">
        <f t="shared" si="3"/>
        <v>0.4961485421357556</v>
      </c>
      <c r="AU3" s="21">
        <f t="shared" si="3"/>
        <v>0.2480742710678778</v>
      </c>
    </row>
    <row r="4" spans="1:47" x14ac:dyDescent="0.4">
      <c r="A4" s="1">
        <v>8359.9686071872693</v>
      </c>
      <c r="C4" s="11"/>
      <c r="D4" s="12" t="s">
        <v>2</v>
      </c>
      <c r="E4" s="13">
        <v>33</v>
      </c>
      <c r="F4" s="13">
        <f t="shared" ref="F4:F17" si="4">E4/39</f>
        <v>0.84615384615384615</v>
      </c>
      <c r="G4" s="13">
        <f t="shared" ref="G4:G17" si="5">$A$3*F4</f>
        <v>7073.0936166873316</v>
      </c>
      <c r="H4" s="9">
        <f t="shared" ref="H4:H17" si="6">$G4*H$2</f>
        <v>70730.936166873318</v>
      </c>
      <c r="I4" s="13">
        <f>$G4*I$2</f>
        <v>63657.842550185982</v>
      </c>
      <c r="J4" s="13">
        <f t="shared" si="0"/>
        <v>56584.748933498653</v>
      </c>
      <c r="K4" s="13">
        <f t="shared" si="0"/>
        <v>49511.655316811324</v>
      </c>
      <c r="L4" s="13">
        <f t="shared" si="0"/>
        <v>42438.561700123988</v>
      </c>
      <c r="M4" s="13">
        <f t="shared" si="0"/>
        <v>35365.468083436659</v>
      </c>
      <c r="N4" s="13">
        <f t="shared" si="0"/>
        <v>28292.374466749327</v>
      </c>
      <c r="O4" s="13">
        <f t="shared" si="0"/>
        <v>21219.280850061994</v>
      </c>
      <c r="P4" s="13">
        <f t="shared" si="0"/>
        <v>14146.187233374663</v>
      </c>
      <c r="Q4" s="13">
        <f t="shared" si="0"/>
        <v>7073.0936166873316</v>
      </c>
      <c r="R4" s="9">
        <f t="shared" ref="R4:R17" si="7">($G4*R$2)/60</f>
        <v>1178.8489361145553</v>
      </c>
      <c r="S4" s="13">
        <f t="shared" si="1"/>
        <v>1060.9640425030998</v>
      </c>
      <c r="T4" s="13">
        <f t="shared" si="1"/>
        <v>943.07914889164419</v>
      </c>
      <c r="U4" s="13">
        <f t="shared" si="1"/>
        <v>825.19425528018871</v>
      </c>
      <c r="V4" s="13">
        <f t="shared" si="1"/>
        <v>707.30936166873312</v>
      </c>
      <c r="W4" s="13">
        <f t="shared" si="1"/>
        <v>589.42446805727764</v>
      </c>
      <c r="X4" s="13">
        <f t="shared" si="1"/>
        <v>471.5395744458221</v>
      </c>
      <c r="Y4" s="13">
        <f t="shared" si="1"/>
        <v>353.65468083436656</v>
      </c>
      <c r="Z4" s="13">
        <f t="shared" si="1"/>
        <v>235.76978722291105</v>
      </c>
      <c r="AA4" s="13">
        <f t="shared" si="1"/>
        <v>117.88489361145552</v>
      </c>
      <c r="AB4" s="9">
        <f t="shared" ref="AB4:AB17" si="8">(($G4*AB$2)/60)/60</f>
        <v>19.647482268575921</v>
      </c>
      <c r="AC4" s="13">
        <f t="shared" si="2"/>
        <v>17.68273404171833</v>
      </c>
      <c r="AD4" s="13">
        <f t="shared" si="2"/>
        <v>15.717985814860736</v>
      </c>
      <c r="AE4" s="13">
        <f t="shared" si="2"/>
        <v>13.753237588003145</v>
      </c>
      <c r="AF4" s="13">
        <f t="shared" si="2"/>
        <v>11.788489361145553</v>
      </c>
      <c r="AG4" s="13">
        <f t="shared" si="2"/>
        <v>9.8237411342879604</v>
      </c>
      <c r="AH4" s="13">
        <f t="shared" si="2"/>
        <v>7.8589929074303679</v>
      </c>
      <c r="AI4" s="13">
        <f t="shared" si="2"/>
        <v>5.8942446805727764</v>
      </c>
      <c r="AJ4" s="13">
        <f t="shared" si="2"/>
        <v>3.929496453715184</v>
      </c>
      <c r="AK4" s="13">
        <f t="shared" si="2"/>
        <v>1.964748226857592</v>
      </c>
      <c r="AL4" s="9">
        <f t="shared" ref="AL4:AL17" si="9">((($G4*AL$2)/60)/60)/24</f>
        <v>0.8186450945239967</v>
      </c>
      <c r="AM4" s="13">
        <f t="shared" si="3"/>
        <v>0.73678058507159705</v>
      </c>
      <c r="AN4" s="13">
        <f t="shared" si="3"/>
        <v>0.65491607561919729</v>
      </c>
      <c r="AO4" s="13">
        <f t="shared" si="3"/>
        <v>0.57305156616679775</v>
      </c>
      <c r="AP4" s="13">
        <f t="shared" si="3"/>
        <v>0.49118705671439805</v>
      </c>
      <c r="AQ4" s="13">
        <f t="shared" si="3"/>
        <v>0.40932254726199835</v>
      </c>
      <c r="AR4" s="13">
        <f t="shared" si="3"/>
        <v>0.32745803780959865</v>
      </c>
      <c r="AS4" s="13">
        <f t="shared" si="3"/>
        <v>0.24559352835719903</v>
      </c>
      <c r="AT4" s="13">
        <f t="shared" si="3"/>
        <v>0.16372901890479932</v>
      </c>
      <c r="AU4" s="21">
        <f t="shared" si="3"/>
        <v>8.1864509452399661E-2</v>
      </c>
    </row>
    <row r="5" spans="1:47" x14ac:dyDescent="0.4">
      <c r="A5" s="1">
        <v>8123.9253878593399</v>
      </c>
      <c r="C5" s="11"/>
      <c r="D5" s="12" t="s">
        <v>3</v>
      </c>
      <c r="E5" s="13">
        <v>35</v>
      </c>
      <c r="F5" s="13">
        <f t="shared" si="4"/>
        <v>0.89743589743589747</v>
      </c>
      <c r="G5" s="13">
        <f t="shared" si="5"/>
        <v>7501.7659570926244</v>
      </c>
      <c r="H5" s="9">
        <f t="shared" si="6"/>
        <v>75017.659570926247</v>
      </c>
      <c r="I5" s="13">
        <f t="shared" si="0"/>
        <v>67515.893613833614</v>
      </c>
      <c r="J5" s="13">
        <f t="shared" si="0"/>
        <v>60014.127656740995</v>
      </c>
      <c r="K5" s="13">
        <f t="shared" si="0"/>
        <v>52512.361699648369</v>
      </c>
      <c r="L5" s="13">
        <f t="shared" si="0"/>
        <v>45010.595742555743</v>
      </c>
      <c r="M5" s="13">
        <f t="shared" si="0"/>
        <v>37508.829785463124</v>
      </c>
      <c r="N5" s="13">
        <f t="shared" si="0"/>
        <v>30007.063828370498</v>
      </c>
      <c r="O5" s="13">
        <f t="shared" si="0"/>
        <v>22505.297871277871</v>
      </c>
      <c r="P5" s="13">
        <f t="shared" si="0"/>
        <v>15003.531914185249</v>
      </c>
      <c r="Q5" s="13">
        <f t="shared" si="0"/>
        <v>7501.7659570926244</v>
      </c>
      <c r="R5" s="9">
        <f t="shared" si="7"/>
        <v>1250.2943261821042</v>
      </c>
      <c r="S5" s="13">
        <f t="shared" si="1"/>
        <v>1125.2648935638936</v>
      </c>
      <c r="T5" s="13">
        <f t="shared" si="1"/>
        <v>1000.2354609456833</v>
      </c>
      <c r="U5" s="13">
        <f t="shared" si="1"/>
        <v>875.20602832747284</v>
      </c>
      <c r="V5" s="13">
        <f t="shared" si="1"/>
        <v>750.17659570926241</v>
      </c>
      <c r="W5" s="13">
        <f t="shared" si="1"/>
        <v>625.14716309105211</v>
      </c>
      <c r="X5" s="13">
        <f t="shared" si="1"/>
        <v>500.11773047284163</v>
      </c>
      <c r="Y5" s="13">
        <f t="shared" si="1"/>
        <v>375.08829785463121</v>
      </c>
      <c r="Z5" s="13">
        <f t="shared" si="1"/>
        <v>250.05886523642081</v>
      </c>
      <c r="AA5" s="13">
        <f t="shared" si="1"/>
        <v>125.02943261821041</v>
      </c>
      <c r="AB5" s="9">
        <f t="shared" si="8"/>
        <v>20.838238769701736</v>
      </c>
      <c r="AC5" s="13">
        <f t="shared" si="2"/>
        <v>18.75441489273156</v>
      </c>
      <c r="AD5" s="13">
        <f t="shared" si="2"/>
        <v>16.670591015761389</v>
      </c>
      <c r="AE5" s="13">
        <f t="shared" si="2"/>
        <v>14.586767138791213</v>
      </c>
      <c r="AF5" s="13">
        <f t="shared" si="2"/>
        <v>12.50294326182104</v>
      </c>
      <c r="AG5" s="13">
        <f t="shared" si="2"/>
        <v>10.419119384850868</v>
      </c>
      <c r="AH5" s="13">
        <f t="shared" si="2"/>
        <v>8.3352955078806943</v>
      </c>
      <c r="AI5" s="13">
        <f t="shared" si="2"/>
        <v>6.2514716309105198</v>
      </c>
      <c r="AJ5" s="13">
        <f t="shared" si="2"/>
        <v>4.1676477539403471</v>
      </c>
      <c r="AK5" s="13">
        <f t="shared" si="2"/>
        <v>2.0838238769701736</v>
      </c>
      <c r="AL5" s="9">
        <f t="shared" si="9"/>
        <v>0.86825994873757228</v>
      </c>
      <c r="AM5" s="13">
        <f t="shared" si="3"/>
        <v>0.78143395386381498</v>
      </c>
      <c r="AN5" s="13">
        <f t="shared" si="3"/>
        <v>0.69460795899005789</v>
      </c>
      <c r="AO5" s="13">
        <f t="shared" si="3"/>
        <v>0.60778196411630059</v>
      </c>
      <c r="AP5" s="13">
        <f t="shared" si="3"/>
        <v>0.52095596924254328</v>
      </c>
      <c r="AQ5" s="13">
        <f t="shared" si="3"/>
        <v>0.43412997436878614</v>
      </c>
      <c r="AR5" s="13">
        <f t="shared" si="3"/>
        <v>0.34730397949502895</v>
      </c>
      <c r="AS5" s="13">
        <f t="shared" si="3"/>
        <v>0.26047798462127164</v>
      </c>
      <c r="AT5" s="13">
        <f t="shared" si="3"/>
        <v>0.17365198974751447</v>
      </c>
      <c r="AU5" s="21">
        <f t="shared" si="3"/>
        <v>8.6825994873757237E-2</v>
      </c>
    </row>
    <row r="6" spans="1:47" x14ac:dyDescent="0.4">
      <c r="A6">
        <f>AVERAGE(A3:A5)</f>
        <v>8281.0015443166067</v>
      </c>
      <c r="C6" s="11"/>
      <c r="D6" s="12" t="s">
        <v>4</v>
      </c>
      <c r="E6" s="13">
        <v>218</v>
      </c>
      <c r="F6" s="13">
        <f t="shared" si="4"/>
        <v>5.5897435897435894</v>
      </c>
      <c r="G6" s="13">
        <f t="shared" si="5"/>
        <v>46725.285104176917</v>
      </c>
      <c r="H6" s="9">
        <f t="shared" si="6"/>
        <v>467252.85104176914</v>
      </c>
      <c r="I6" s="13">
        <f t="shared" si="0"/>
        <v>420527.56593759224</v>
      </c>
      <c r="J6" s="13">
        <f t="shared" si="0"/>
        <v>373802.28083341534</v>
      </c>
      <c r="K6" s="13">
        <f t="shared" si="0"/>
        <v>327076.99572923844</v>
      </c>
      <c r="L6" s="13">
        <f t="shared" si="0"/>
        <v>280351.71062506153</v>
      </c>
      <c r="M6" s="13">
        <f t="shared" si="0"/>
        <v>233626.42552088457</v>
      </c>
      <c r="N6" s="13">
        <f t="shared" si="0"/>
        <v>186901.14041670767</v>
      </c>
      <c r="O6" s="13">
        <f t="shared" si="0"/>
        <v>140175.85531253077</v>
      </c>
      <c r="P6" s="13">
        <f t="shared" si="0"/>
        <v>93450.570208353834</v>
      </c>
      <c r="Q6" s="13">
        <f t="shared" si="0"/>
        <v>46725.285104176917</v>
      </c>
      <c r="R6" s="9">
        <f t="shared" si="7"/>
        <v>7787.5475173628192</v>
      </c>
      <c r="S6" s="13">
        <f t="shared" si="1"/>
        <v>7008.7927656265374</v>
      </c>
      <c r="T6" s="13">
        <f t="shared" si="1"/>
        <v>6230.0380138902556</v>
      </c>
      <c r="U6" s="13">
        <f t="shared" si="1"/>
        <v>5451.2832621539737</v>
      </c>
      <c r="V6" s="13">
        <f t="shared" si="1"/>
        <v>4672.5285104176919</v>
      </c>
      <c r="W6" s="13">
        <f t="shared" si="1"/>
        <v>3893.7737586814096</v>
      </c>
      <c r="X6" s="13">
        <f t="shared" si="1"/>
        <v>3115.0190069451278</v>
      </c>
      <c r="Y6" s="13">
        <f t="shared" si="1"/>
        <v>2336.264255208846</v>
      </c>
      <c r="Z6" s="13">
        <f t="shared" si="1"/>
        <v>1557.5095034725639</v>
      </c>
      <c r="AA6" s="13">
        <f t="shared" si="1"/>
        <v>778.75475173628195</v>
      </c>
      <c r="AB6" s="9">
        <f t="shared" si="8"/>
        <v>129.79245862271367</v>
      </c>
      <c r="AC6" s="13">
        <f t="shared" si="2"/>
        <v>116.81321276044228</v>
      </c>
      <c r="AD6" s="13">
        <f t="shared" si="2"/>
        <v>103.83396689817093</v>
      </c>
      <c r="AE6" s="13">
        <f t="shared" si="2"/>
        <v>90.854721035899559</v>
      </c>
      <c r="AF6" s="13">
        <f t="shared" si="2"/>
        <v>77.875475173628203</v>
      </c>
      <c r="AG6" s="13">
        <f t="shared" si="2"/>
        <v>64.896229311356834</v>
      </c>
      <c r="AH6" s="13">
        <f t="shared" si="2"/>
        <v>51.916983449085464</v>
      </c>
      <c r="AI6" s="13">
        <f t="shared" si="2"/>
        <v>38.937737586814102</v>
      </c>
      <c r="AJ6" s="13">
        <f t="shared" si="2"/>
        <v>25.958491724542732</v>
      </c>
      <c r="AK6" s="13">
        <f t="shared" si="2"/>
        <v>12.979245862271366</v>
      </c>
      <c r="AL6" s="9">
        <f t="shared" si="9"/>
        <v>5.4080191092797358</v>
      </c>
      <c r="AM6" s="13">
        <f t="shared" si="3"/>
        <v>4.8672171983517618</v>
      </c>
      <c r="AN6" s="13">
        <f t="shared" si="3"/>
        <v>4.3264152874237887</v>
      </c>
      <c r="AO6" s="13">
        <f t="shared" si="3"/>
        <v>3.7856133764958151</v>
      </c>
      <c r="AP6" s="13">
        <f t="shared" si="3"/>
        <v>3.2448114655678419</v>
      </c>
      <c r="AQ6" s="13">
        <f t="shared" si="3"/>
        <v>2.7040095546398679</v>
      </c>
      <c r="AR6" s="13">
        <f t="shared" si="3"/>
        <v>2.1632076437118943</v>
      </c>
      <c r="AS6" s="13">
        <f t="shared" si="3"/>
        <v>1.622405732783921</v>
      </c>
      <c r="AT6" s="13">
        <f t="shared" si="3"/>
        <v>1.0816038218559472</v>
      </c>
      <c r="AU6" s="21">
        <f t="shared" si="3"/>
        <v>0.54080191092797358</v>
      </c>
    </row>
    <row r="7" spans="1:47" x14ac:dyDescent="0.4">
      <c r="C7" s="14" t="s">
        <v>5</v>
      </c>
      <c r="D7" s="15" t="s">
        <v>6</v>
      </c>
      <c r="E7" s="16">
        <v>392</v>
      </c>
      <c r="F7" s="16">
        <f t="shared" si="4"/>
        <v>10.051282051282051</v>
      </c>
      <c r="G7" s="16">
        <f t="shared" si="5"/>
        <v>84019.778719437396</v>
      </c>
      <c r="H7" s="9">
        <f t="shared" si="6"/>
        <v>840197.78719437402</v>
      </c>
      <c r="I7" s="16">
        <f t="shared" si="0"/>
        <v>756178.00847493659</v>
      </c>
      <c r="J7" s="16">
        <f t="shared" si="0"/>
        <v>672158.22975549917</v>
      </c>
      <c r="K7" s="16">
        <f t="shared" si="0"/>
        <v>588138.45103606174</v>
      </c>
      <c r="L7" s="16">
        <f t="shared" si="0"/>
        <v>504118.67231662438</v>
      </c>
      <c r="M7" s="16">
        <f t="shared" si="0"/>
        <v>420098.89359718701</v>
      </c>
      <c r="N7" s="16">
        <f t="shared" si="0"/>
        <v>336079.11487774958</v>
      </c>
      <c r="O7" s="16">
        <f t="shared" si="0"/>
        <v>252059.33615831219</v>
      </c>
      <c r="P7" s="16">
        <f t="shared" si="0"/>
        <v>168039.55743887479</v>
      </c>
      <c r="Q7" s="16">
        <f t="shared" si="0"/>
        <v>84019.778719437396</v>
      </c>
      <c r="R7" s="9">
        <f t="shared" si="7"/>
        <v>14003.296453239567</v>
      </c>
      <c r="S7" s="16">
        <f t="shared" si="1"/>
        <v>12602.966807915609</v>
      </c>
      <c r="T7" s="16">
        <f t="shared" si="1"/>
        <v>11202.637162591653</v>
      </c>
      <c r="U7" s="16">
        <f t="shared" si="1"/>
        <v>9802.3075172676963</v>
      </c>
      <c r="V7" s="16">
        <f t="shared" si="1"/>
        <v>8401.97787194374</v>
      </c>
      <c r="W7" s="16">
        <f t="shared" si="1"/>
        <v>7001.6482266197836</v>
      </c>
      <c r="X7" s="16">
        <f t="shared" si="1"/>
        <v>5601.3185812958263</v>
      </c>
      <c r="Y7" s="16">
        <f t="shared" si="1"/>
        <v>4200.98893597187</v>
      </c>
      <c r="Z7" s="16">
        <f t="shared" si="1"/>
        <v>2800.6592906479132</v>
      </c>
      <c r="AA7" s="16">
        <f t="shared" si="1"/>
        <v>1400.3296453239566</v>
      </c>
      <c r="AB7" s="9">
        <f t="shared" si="8"/>
        <v>233.38827422065944</v>
      </c>
      <c r="AC7" s="16">
        <f t="shared" si="2"/>
        <v>210.04944679859349</v>
      </c>
      <c r="AD7" s="16">
        <f t="shared" si="2"/>
        <v>186.71061937652755</v>
      </c>
      <c r="AE7" s="16">
        <f t="shared" si="2"/>
        <v>163.3717919544616</v>
      </c>
      <c r="AF7" s="16">
        <f t="shared" si="2"/>
        <v>140.03296453239565</v>
      </c>
      <c r="AG7" s="16">
        <f t="shared" si="2"/>
        <v>116.69413711032972</v>
      </c>
      <c r="AH7" s="16">
        <f t="shared" si="2"/>
        <v>93.355309688263773</v>
      </c>
      <c r="AI7" s="16">
        <f t="shared" si="2"/>
        <v>70.016482266197826</v>
      </c>
      <c r="AJ7" s="16">
        <f t="shared" si="2"/>
        <v>46.677654844131887</v>
      </c>
      <c r="AK7" s="16">
        <f t="shared" si="2"/>
        <v>23.338827422065943</v>
      </c>
      <c r="AL7" s="9">
        <f t="shared" si="9"/>
        <v>9.7245114258608094</v>
      </c>
      <c r="AM7" s="16">
        <f t="shared" si="3"/>
        <v>8.7520602832747283</v>
      </c>
      <c r="AN7" s="16">
        <f t="shared" si="3"/>
        <v>7.7796091406886481</v>
      </c>
      <c r="AO7" s="16">
        <f t="shared" si="3"/>
        <v>6.8071579981025669</v>
      </c>
      <c r="AP7" s="16">
        <f t="shared" si="3"/>
        <v>5.8347068555164858</v>
      </c>
      <c r="AQ7" s="16">
        <f t="shared" si="3"/>
        <v>4.8622557129304047</v>
      </c>
      <c r="AR7" s="16">
        <f t="shared" si="3"/>
        <v>3.889804570344324</v>
      </c>
      <c r="AS7" s="16">
        <f t="shared" si="3"/>
        <v>2.9173534277582429</v>
      </c>
      <c r="AT7" s="16">
        <f t="shared" si="3"/>
        <v>1.944902285172162</v>
      </c>
      <c r="AU7" s="22">
        <f t="shared" si="3"/>
        <v>0.97245114258608101</v>
      </c>
    </row>
    <row r="8" spans="1:47" x14ac:dyDescent="0.4">
      <c r="C8" s="14"/>
      <c r="D8" s="15" t="s">
        <v>7</v>
      </c>
      <c r="E8" s="16">
        <v>146</v>
      </c>
      <c r="F8" s="16">
        <f t="shared" si="4"/>
        <v>3.7435897435897436</v>
      </c>
      <c r="G8" s="16">
        <f t="shared" si="5"/>
        <v>31293.080849586375</v>
      </c>
      <c r="H8" s="9">
        <f t="shared" si="6"/>
        <v>312930.80849586375</v>
      </c>
      <c r="I8" s="16">
        <f t="shared" si="0"/>
        <v>281637.7276462774</v>
      </c>
      <c r="J8" s="16">
        <f t="shared" si="0"/>
        <v>250344.646796691</v>
      </c>
      <c r="K8" s="16">
        <f t="shared" si="0"/>
        <v>219051.56594710462</v>
      </c>
      <c r="L8" s="16">
        <f t="shared" si="0"/>
        <v>187758.48509751825</v>
      </c>
      <c r="M8" s="16">
        <f t="shared" si="0"/>
        <v>156465.40424793187</v>
      </c>
      <c r="N8" s="16">
        <f t="shared" si="0"/>
        <v>125172.3233983455</v>
      </c>
      <c r="O8" s="16">
        <f t="shared" si="0"/>
        <v>93879.242548759124</v>
      </c>
      <c r="P8" s="16">
        <f t="shared" si="0"/>
        <v>62586.16169917275</v>
      </c>
      <c r="Q8" s="16">
        <f t="shared" si="0"/>
        <v>31293.080849586375</v>
      </c>
      <c r="R8" s="9">
        <f t="shared" si="7"/>
        <v>5215.5134749310628</v>
      </c>
      <c r="S8" s="16">
        <f t="shared" si="1"/>
        <v>4693.962127437957</v>
      </c>
      <c r="T8" s="16">
        <f t="shared" si="1"/>
        <v>4172.4107799448502</v>
      </c>
      <c r="U8" s="16">
        <f t="shared" si="1"/>
        <v>3650.8594324517439</v>
      </c>
      <c r="V8" s="16">
        <f t="shared" si="1"/>
        <v>3129.3080849586377</v>
      </c>
      <c r="W8" s="16">
        <f t="shared" si="1"/>
        <v>2607.7567374655314</v>
      </c>
      <c r="X8" s="16">
        <f t="shared" si="1"/>
        <v>2086.2053899724251</v>
      </c>
      <c r="Y8" s="16">
        <f t="shared" si="1"/>
        <v>1564.6540424793188</v>
      </c>
      <c r="Z8" s="16">
        <f t="shared" si="1"/>
        <v>1043.1026949862126</v>
      </c>
      <c r="AA8" s="16">
        <f t="shared" si="1"/>
        <v>521.55134749310628</v>
      </c>
      <c r="AB8" s="9">
        <f t="shared" si="8"/>
        <v>86.925224582184384</v>
      </c>
      <c r="AC8" s="16">
        <f t="shared" si="2"/>
        <v>78.23270212396595</v>
      </c>
      <c r="AD8" s="16">
        <f t="shared" si="2"/>
        <v>69.540179665747502</v>
      </c>
      <c r="AE8" s="16">
        <f t="shared" si="2"/>
        <v>60.847657207529068</v>
      </c>
      <c r="AF8" s="16">
        <f t="shared" si="2"/>
        <v>52.155134749310626</v>
      </c>
      <c r="AG8" s="16">
        <f t="shared" si="2"/>
        <v>43.462612291092192</v>
      </c>
      <c r="AH8" s="16">
        <f t="shared" si="2"/>
        <v>34.770089832873751</v>
      </c>
      <c r="AI8" s="16">
        <f t="shared" si="2"/>
        <v>26.077567374655313</v>
      </c>
      <c r="AJ8" s="16">
        <f t="shared" si="2"/>
        <v>17.385044916436875</v>
      </c>
      <c r="AK8" s="16">
        <f t="shared" si="2"/>
        <v>8.6925224582184377</v>
      </c>
      <c r="AL8" s="9">
        <f t="shared" si="9"/>
        <v>3.621884357591016</v>
      </c>
      <c r="AM8" s="16">
        <f t="shared" si="3"/>
        <v>3.2596959218319146</v>
      </c>
      <c r="AN8" s="16">
        <f t="shared" si="3"/>
        <v>2.8975074860728127</v>
      </c>
      <c r="AO8" s="16">
        <f t="shared" si="3"/>
        <v>2.5353190503137113</v>
      </c>
      <c r="AP8" s="16">
        <f t="shared" si="3"/>
        <v>2.1731306145546094</v>
      </c>
      <c r="AQ8" s="16">
        <f t="shared" si="3"/>
        <v>1.810942178795508</v>
      </c>
      <c r="AR8" s="16">
        <f t="shared" si="3"/>
        <v>1.4487537430364064</v>
      </c>
      <c r="AS8" s="16">
        <f t="shared" si="3"/>
        <v>1.0865653072773047</v>
      </c>
      <c r="AT8" s="16">
        <f t="shared" si="3"/>
        <v>0.72437687151820318</v>
      </c>
      <c r="AU8" s="22">
        <f t="shared" si="3"/>
        <v>0.36218843575910159</v>
      </c>
    </row>
    <row r="9" spans="1:47" x14ac:dyDescent="0.4">
      <c r="C9" s="14"/>
      <c r="D9" s="15" t="s">
        <v>8</v>
      </c>
      <c r="E9" s="16">
        <v>143</v>
      </c>
      <c r="F9" s="16">
        <f t="shared" si="4"/>
        <v>3.6666666666666665</v>
      </c>
      <c r="G9" s="16">
        <f t="shared" si="5"/>
        <v>30650.072338978436</v>
      </c>
      <c r="H9" s="9">
        <f t="shared" si="6"/>
        <v>306500.72338978434</v>
      </c>
      <c r="I9" s="16">
        <f t="shared" si="0"/>
        <v>275850.65105080593</v>
      </c>
      <c r="J9" s="16">
        <f t="shared" si="0"/>
        <v>245200.57871182749</v>
      </c>
      <c r="K9" s="16">
        <f t="shared" si="0"/>
        <v>214550.50637284905</v>
      </c>
      <c r="L9" s="16">
        <f t="shared" si="0"/>
        <v>183900.43403387061</v>
      </c>
      <c r="M9" s="16">
        <f t="shared" si="0"/>
        <v>153250.36169489217</v>
      </c>
      <c r="N9" s="16">
        <f t="shared" si="0"/>
        <v>122600.28935591374</v>
      </c>
      <c r="O9" s="16">
        <f t="shared" si="0"/>
        <v>91950.217016935305</v>
      </c>
      <c r="P9" s="16">
        <f t="shared" si="0"/>
        <v>61300.144677956872</v>
      </c>
      <c r="Q9" s="16">
        <f t="shared" si="0"/>
        <v>30650.072338978436</v>
      </c>
      <c r="R9" s="9">
        <f t="shared" si="7"/>
        <v>5108.3453898297394</v>
      </c>
      <c r="S9" s="16">
        <f t="shared" si="1"/>
        <v>4597.5108508467656</v>
      </c>
      <c r="T9" s="16">
        <f t="shared" si="1"/>
        <v>4086.6763118637914</v>
      </c>
      <c r="U9" s="16">
        <f t="shared" si="1"/>
        <v>3575.8417728808176</v>
      </c>
      <c r="V9" s="16">
        <f t="shared" si="1"/>
        <v>3065.0072338978434</v>
      </c>
      <c r="W9" s="16">
        <f t="shared" si="1"/>
        <v>2554.1726949148697</v>
      </c>
      <c r="X9" s="16">
        <f t="shared" si="1"/>
        <v>2043.3381559318957</v>
      </c>
      <c r="Y9" s="16">
        <f t="shared" si="1"/>
        <v>1532.5036169489217</v>
      </c>
      <c r="Z9" s="16">
        <f t="shared" si="1"/>
        <v>1021.6690779659478</v>
      </c>
      <c r="AA9" s="16">
        <f t="shared" si="1"/>
        <v>510.83453898297392</v>
      </c>
      <c r="AB9" s="9">
        <f t="shared" si="8"/>
        <v>85.139089830495649</v>
      </c>
      <c r="AC9" s="16">
        <f t="shared" si="2"/>
        <v>76.625180847446089</v>
      </c>
      <c r="AD9" s="16">
        <f t="shared" si="2"/>
        <v>68.111271864396528</v>
      </c>
      <c r="AE9" s="16">
        <f t="shared" si="2"/>
        <v>59.59736288134696</v>
      </c>
      <c r="AF9" s="16">
        <f t="shared" si="2"/>
        <v>51.083453898297392</v>
      </c>
      <c r="AG9" s="16">
        <f t="shared" si="2"/>
        <v>42.569544915247825</v>
      </c>
      <c r="AH9" s="16">
        <f t="shared" si="2"/>
        <v>34.055635932198264</v>
      </c>
      <c r="AI9" s="16">
        <f t="shared" si="2"/>
        <v>25.541726949148696</v>
      </c>
      <c r="AJ9" s="16">
        <f t="shared" si="2"/>
        <v>17.027817966099132</v>
      </c>
      <c r="AK9" s="16">
        <f t="shared" si="2"/>
        <v>8.513908983049566</v>
      </c>
      <c r="AL9" s="9">
        <f t="shared" si="9"/>
        <v>3.5474620762706519</v>
      </c>
      <c r="AM9" s="16">
        <f t="shared" si="3"/>
        <v>3.192715868643587</v>
      </c>
      <c r="AN9" s="16">
        <f t="shared" si="3"/>
        <v>2.8379696610165221</v>
      </c>
      <c r="AO9" s="16">
        <f t="shared" si="3"/>
        <v>2.4832234533894568</v>
      </c>
      <c r="AP9" s="16">
        <f t="shared" si="3"/>
        <v>2.1284772457623915</v>
      </c>
      <c r="AQ9" s="16">
        <f t="shared" si="3"/>
        <v>1.773731038135326</v>
      </c>
      <c r="AR9" s="16">
        <f t="shared" si="3"/>
        <v>1.4189848305082611</v>
      </c>
      <c r="AS9" s="16">
        <f t="shared" si="3"/>
        <v>1.0642386228811958</v>
      </c>
      <c r="AT9" s="16">
        <f t="shared" si="3"/>
        <v>0.70949241525413054</v>
      </c>
      <c r="AU9" s="22">
        <f t="shared" si="3"/>
        <v>0.35474620762706527</v>
      </c>
    </row>
    <row r="10" spans="1:47" x14ac:dyDescent="0.4">
      <c r="C10" s="17" t="s">
        <v>13</v>
      </c>
      <c r="D10" s="18" t="s">
        <v>14</v>
      </c>
      <c r="E10" s="19">
        <v>250</v>
      </c>
      <c r="F10" s="19">
        <f t="shared" si="4"/>
        <v>6.4102564102564106</v>
      </c>
      <c r="G10" s="19">
        <f t="shared" si="5"/>
        <v>53584.042550661601</v>
      </c>
      <c r="H10" s="9">
        <f t="shared" si="6"/>
        <v>535840.42550661601</v>
      </c>
      <c r="I10" s="19">
        <f t="shared" si="0"/>
        <v>482256.38295595441</v>
      </c>
      <c r="J10" s="19">
        <f t="shared" si="0"/>
        <v>428672.34040529281</v>
      </c>
      <c r="K10" s="19">
        <f t="shared" si="0"/>
        <v>375088.29785463121</v>
      </c>
      <c r="L10" s="19">
        <f t="shared" si="0"/>
        <v>321504.25530396961</v>
      </c>
      <c r="M10" s="19">
        <f t="shared" si="0"/>
        <v>267920.21275330801</v>
      </c>
      <c r="N10" s="19">
        <f t="shared" si="0"/>
        <v>214336.1702026464</v>
      </c>
      <c r="O10" s="19">
        <f t="shared" si="0"/>
        <v>160752.1276519848</v>
      </c>
      <c r="P10" s="19">
        <f t="shared" si="0"/>
        <v>107168.0851013232</v>
      </c>
      <c r="Q10" s="19">
        <f t="shared" si="0"/>
        <v>53584.042550661601</v>
      </c>
      <c r="R10" s="9">
        <f t="shared" si="7"/>
        <v>8930.6737584435996</v>
      </c>
      <c r="S10" s="19">
        <f t="shared" si="1"/>
        <v>8037.6063825992405</v>
      </c>
      <c r="T10" s="19">
        <f t="shared" si="1"/>
        <v>7144.5390067548806</v>
      </c>
      <c r="U10" s="19">
        <f t="shared" si="1"/>
        <v>6251.4716309105197</v>
      </c>
      <c r="V10" s="19">
        <f t="shared" si="1"/>
        <v>5358.4042550661597</v>
      </c>
      <c r="W10" s="19">
        <f t="shared" si="1"/>
        <v>4465.3368792217998</v>
      </c>
      <c r="X10" s="19">
        <f t="shared" si="1"/>
        <v>3572.2695033774403</v>
      </c>
      <c r="Y10" s="19">
        <f t="shared" si="1"/>
        <v>2679.2021275330799</v>
      </c>
      <c r="Z10" s="19">
        <f t="shared" si="1"/>
        <v>1786.1347516887201</v>
      </c>
      <c r="AA10" s="19">
        <f t="shared" si="1"/>
        <v>893.06737584436007</v>
      </c>
      <c r="AB10" s="9">
        <f t="shared" si="8"/>
        <v>148.84456264072665</v>
      </c>
      <c r="AC10" s="19">
        <f t="shared" si="2"/>
        <v>133.96010637665401</v>
      </c>
      <c r="AD10" s="19">
        <f t="shared" si="2"/>
        <v>119.07565011258134</v>
      </c>
      <c r="AE10" s="19">
        <f t="shared" si="2"/>
        <v>104.19119384850866</v>
      </c>
      <c r="AF10" s="19">
        <f t="shared" si="2"/>
        <v>89.306737584435993</v>
      </c>
      <c r="AG10" s="19">
        <f t="shared" si="2"/>
        <v>74.422281320363325</v>
      </c>
      <c r="AH10" s="19">
        <f t="shared" si="2"/>
        <v>59.537825056290671</v>
      </c>
      <c r="AI10" s="19">
        <f t="shared" si="2"/>
        <v>44.653368792217996</v>
      </c>
      <c r="AJ10" s="19">
        <f t="shared" si="2"/>
        <v>29.768912528145336</v>
      </c>
      <c r="AK10" s="19">
        <f t="shared" si="2"/>
        <v>14.884456264072668</v>
      </c>
      <c r="AL10" s="9">
        <f t="shared" si="9"/>
        <v>6.2018567766969435</v>
      </c>
      <c r="AM10" s="19">
        <f t="shared" si="3"/>
        <v>5.5816710990272504</v>
      </c>
      <c r="AN10" s="19">
        <f t="shared" si="3"/>
        <v>4.9614854213575557</v>
      </c>
      <c r="AO10" s="19">
        <f t="shared" si="3"/>
        <v>4.3412997436878609</v>
      </c>
      <c r="AP10" s="19">
        <f t="shared" si="3"/>
        <v>3.7211140660181665</v>
      </c>
      <c r="AQ10" s="19">
        <f t="shared" si="3"/>
        <v>3.1009283883484717</v>
      </c>
      <c r="AR10" s="19">
        <f t="shared" si="3"/>
        <v>2.4807427106787778</v>
      </c>
      <c r="AS10" s="19">
        <f t="shared" si="3"/>
        <v>1.8605570330090833</v>
      </c>
      <c r="AT10" s="19">
        <f t="shared" si="3"/>
        <v>1.2403713553393889</v>
      </c>
      <c r="AU10" s="23">
        <f t="shared" si="3"/>
        <v>0.62018567766969446</v>
      </c>
    </row>
    <row r="11" spans="1:47" x14ac:dyDescent="0.4">
      <c r="C11" s="17"/>
      <c r="D11" s="18" t="s">
        <v>15</v>
      </c>
      <c r="E11" s="19">
        <v>101</v>
      </c>
      <c r="F11" s="19">
        <f t="shared" si="4"/>
        <v>2.5897435897435899</v>
      </c>
      <c r="G11" s="19">
        <f t="shared" si="5"/>
        <v>21647.953190467288</v>
      </c>
      <c r="H11" s="9">
        <f t="shared" si="6"/>
        <v>216479.53190467288</v>
      </c>
      <c r="I11" s="19">
        <f t="shared" si="0"/>
        <v>194831.57871420559</v>
      </c>
      <c r="J11" s="19">
        <f t="shared" si="0"/>
        <v>173183.6255237383</v>
      </c>
      <c r="K11" s="19">
        <f t="shared" si="0"/>
        <v>151535.67233327101</v>
      </c>
      <c r="L11" s="19">
        <f t="shared" si="0"/>
        <v>129887.71914280372</v>
      </c>
      <c r="M11" s="19">
        <f t="shared" si="0"/>
        <v>108239.76595233644</v>
      </c>
      <c r="N11" s="19">
        <f t="shared" si="0"/>
        <v>86591.812761869151</v>
      </c>
      <c r="O11" s="19">
        <f t="shared" si="0"/>
        <v>64943.859571401859</v>
      </c>
      <c r="P11" s="19">
        <f t="shared" si="0"/>
        <v>43295.906380934575</v>
      </c>
      <c r="Q11" s="19">
        <f t="shared" si="0"/>
        <v>21647.953190467288</v>
      </c>
      <c r="R11" s="9">
        <f t="shared" si="7"/>
        <v>3607.9921984112148</v>
      </c>
      <c r="S11" s="19">
        <f t="shared" si="1"/>
        <v>3247.1929785700931</v>
      </c>
      <c r="T11" s="19">
        <f t="shared" si="1"/>
        <v>2886.3937587289715</v>
      </c>
      <c r="U11" s="19">
        <f t="shared" si="1"/>
        <v>2525.5945388878504</v>
      </c>
      <c r="V11" s="19">
        <f t="shared" si="1"/>
        <v>2164.7953190467288</v>
      </c>
      <c r="W11" s="19">
        <f t="shared" si="1"/>
        <v>1803.9960992056074</v>
      </c>
      <c r="X11" s="19">
        <f t="shared" si="1"/>
        <v>1443.1968793644858</v>
      </c>
      <c r="Y11" s="19">
        <f t="shared" si="1"/>
        <v>1082.3976595233644</v>
      </c>
      <c r="Z11" s="19">
        <f t="shared" si="1"/>
        <v>721.59843968224288</v>
      </c>
      <c r="AA11" s="19">
        <f t="shared" si="1"/>
        <v>360.79921984112144</v>
      </c>
      <c r="AB11" s="9">
        <f t="shared" si="8"/>
        <v>60.133203306853581</v>
      </c>
      <c r="AC11" s="19">
        <f t="shared" si="2"/>
        <v>54.119882976168221</v>
      </c>
      <c r="AD11" s="19">
        <f t="shared" si="2"/>
        <v>48.10656264548286</v>
      </c>
      <c r="AE11" s="19">
        <f t="shared" si="2"/>
        <v>42.093242314797507</v>
      </c>
      <c r="AF11" s="19">
        <f t="shared" si="2"/>
        <v>36.079921984112147</v>
      </c>
      <c r="AG11" s="19">
        <f t="shared" si="2"/>
        <v>30.06660165342679</v>
      </c>
      <c r="AH11" s="19">
        <f t="shared" si="2"/>
        <v>24.05328132274143</v>
      </c>
      <c r="AI11" s="19">
        <f t="shared" si="2"/>
        <v>18.039960992056074</v>
      </c>
      <c r="AJ11" s="19">
        <f t="shared" si="2"/>
        <v>12.026640661370715</v>
      </c>
      <c r="AK11" s="19">
        <f t="shared" si="2"/>
        <v>6.0133203306853575</v>
      </c>
      <c r="AL11" s="9">
        <f t="shared" si="9"/>
        <v>2.505550137785566</v>
      </c>
      <c r="AM11" s="19">
        <f t="shared" si="3"/>
        <v>2.2549951240070092</v>
      </c>
      <c r="AN11" s="19">
        <f t="shared" si="3"/>
        <v>2.0044401102284524</v>
      </c>
      <c r="AO11" s="19">
        <f t="shared" si="3"/>
        <v>1.7538850964498962</v>
      </c>
      <c r="AP11" s="19">
        <f t="shared" si="3"/>
        <v>1.5033300826713394</v>
      </c>
      <c r="AQ11" s="19">
        <f t="shared" si="3"/>
        <v>1.252775068892783</v>
      </c>
      <c r="AR11" s="19">
        <f t="shared" si="3"/>
        <v>1.0022200551142262</v>
      </c>
      <c r="AS11" s="19">
        <f t="shared" si="3"/>
        <v>0.75166504133566969</v>
      </c>
      <c r="AT11" s="19">
        <f t="shared" si="3"/>
        <v>0.50111002755711309</v>
      </c>
      <c r="AU11" s="23">
        <f t="shared" si="3"/>
        <v>0.25055501377855655</v>
      </c>
    </row>
    <row r="12" spans="1:47" x14ac:dyDescent="0.4">
      <c r="C12" s="17"/>
      <c r="D12" s="18" t="s">
        <v>16</v>
      </c>
      <c r="E12" s="19">
        <v>66</v>
      </c>
      <c r="F12" s="19">
        <f t="shared" si="4"/>
        <v>1.6923076923076923</v>
      </c>
      <c r="G12" s="19">
        <f t="shared" si="5"/>
        <v>14146.187233374663</v>
      </c>
      <c r="H12" s="9">
        <f t="shared" si="6"/>
        <v>141461.87233374664</v>
      </c>
      <c r="I12" s="19">
        <f t="shared" si="0"/>
        <v>127315.68510037196</v>
      </c>
      <c r="J12" s="19">
        <f t="shared" si="0"/>
        <v>113169.49786699731</v>
      </c>
      <c r="K12" s="19">
        <f t="shared" si="0"/>
        <v>99023.310633622648</v>
      </c>
      <c r="L12" s="19">
        <f t="shared" si="0"/>
        <v>84877.123400247976</v>
      </c>
      <c r="M12" s="19">
        <f t="shared" si="0"/>
        <v>70730.936166873318</v>
      </c>
      <c r="N12" s="19">
        <f t="shared" si="0"/>
        <v>56584.748933498653</v>
      </c>
      <c r="O12" s="19">
        <f t="shared" si="0"/>
        <v>42438.561700123988</v>
      </c>
      <c r="P12" s="19">
        <f t="shared" si="0"/>
        <v>28292.374466749327</v>
      </c>
      <c r="Q12" s="19">
        <f t="shared" si="0"/>
        <v>14146.187233374663</v>
      </c>
      <c r="R12" s="9">
        <f t="shared" si="7"/>
        <v>2357.6978722291105</v>
      </c>
      <c r="S12" s="19">
        <f t="shared" si="1"/>
        <v>2121.9280850061996</v>
      </c>
      <c r="T12" s="19">
        <f t="shared" si="1"/>
        <v>1886.1582977832884</v>
      </c>
      <c r="U12" s="19">
        <f t="shared" si="1"/>
        <v>1650.3885105603774</v>
      </c>
      <c r="V12" s="19">
        <f t="shared" si="1"/>
        <v>1414.6187233374662</v>
      </c>
      <c r="W12" s="19">
        <f t="shared" si="1"/>
        <v>1178.8489361145553</v>
      </c>
      <c r="X12" s="19">
        <f t="shared" si="1"/>
        <v>943.07914889164419</v>
      </c>
      <c r="Y12" s="19">
        <f t="shared" si="1"/>
        <v>707.30936166873312</v>
      </c>
      <c r="Z12" s="19">
        <f t="shared" si="1"/>
        <v>471.5395744458221</v>
      </c>
      <c r="AA12" s="19">
        <f t="shared" si="1"/>
        <v>235.76978722291105</v>
      </c>
      <c r="AB12" s="9">
        <f t="shared" si="8"/>
        <v>39.294964537151841</v>
      </c>
      <c r="AC12" s="19">
        <f t="shared" si="2"/>
        <v>35.36546808343666</v>
      </c>
      <c r="AD12" s="19">
        <f t="shared" si="2"/>
        <v>31.435971629721472</v>
      </c>
      <c r="AE12" s="19">
        <f t="shared" si="2"/>
        <v>27.50647517600629</v>
      </c>
      <c r="AF12" s="19">
        <f t="shared" si="2"/>
        <v>23.576978722291106</v>
      </c>
      <c r="AG12" s="19">
        <f t="shared" si="2"/>
        <v>19.647482268575921</v>
      </c>
      <c r="AH12" s="19">
        <f t="shared" si="2"/>
        <v>15.717985814860736</v>
      </c>
      <c r="AI12" s="19">
        <f t="shared" si="2"/>
        <v>11.788489361145553</v>
      </c>
      <c r="AJ12" s="19">
        <f t="shared" si="2"/>
        <v>7.8589929074303679</v>
      </c>
      <c r="AK12" s="19">
        <f t="shared" si="2"/>
        <v>3.929496453715184</v>
      </c>
      <c r="AL12" s="9">
        <f t="shared" si="9"/>
        <v>1.6372901890479934</v>
      </c>
      <c r="AM12" s="19">
        <f t="shared" si="3"/>
        <v>1.4735611701431941</v>
      </c>
      <c r="AN12" s="19">
        <f t="shared" si="3"/>
        <v>1.3098321512383946</v>
      </c>
      <c r="AO12" s="19">
        <f t="shared" si="3"/>
        <v>1.1461031323335955</v>
      </c>
      <c r="AP12" s="19">
        <f t="shared" si="3"/>
        <v>0.9823741134287961</v>
      </c>
      <c r="AQ12" s="19">
        <f t="shared" si="3"/>
        <v>0.8186450945239967</v>
      </c>
      <c r="AR12" s="19">
        <f t="shared" si="3"/>
        <v>0.65491607561919729</v>
      </c>
      <c r="AS12" s="19">
        <f t="shared" si="3"/>
        <v>0.49118705671439805</v>
      </c>
      <c r="AT12" s="19">
        <f t="shared" si="3"/>
        <v>0.32745803780959865</v>
      </c>
      <c r="AU12" s="23">
        <f t="shared" si="3"/>
        <v>0.16372901890479932</v>
      </c>
    </row>
    <row r="13" spans="1:47" x14ac:dyDescent="0.4">
      <c r="C13" s="17"/>
      <c r="D13" s="18" t="s">
        <v>17</v>
      </c>
      <c r="E13" s="19">
        <v>352</v>
      </c>
      <c r="F13" s="19">
        <f t="shared" si="4"/>
        <v>9.0256410256410255</v>
      </c>
      <c r="G13" s="19">
        <f t="shared" si="5"/>
        <v>75446.331911331537</v>
      </c>
      <c r="H13" s="9">
        <f t="shared" si="6"/>
        <v>754463.31911331532</v>
      </c>
      <c r="I13" s="19">
        <f t="shared" si="0"/>
        <v>679016.98720198381</v>
      </c>
      <c r="J13" s="19">
        <f t="shared" si="0"/>
        <v>603570.6552906523</v>
      </c>
      <c r="K13" s="19">
        <f t="shared" si="0"/>
        <v>528124.32337932079</v>
      </c>
      <c r="L13" s="19">
        <f t="shared" si="0"/>
        <v>452677.99146798922</v>
      </c>
      <c r="M13" s="19">
        <f t="shared" si="0"/>
        <v>377231.65955665766</v>
      </c>
      <c r="N13" s="19">
        <f t="shared" si="0"/>
        <v>301785.32764532615</v>
      </c>
      <c r="O13" s="19">
        <f t="shared" si="0"/>
        <v>226338.99573399461</v>
      </c>
      <c r="P13" s="19">
        <f t="shared" si="0"/>
        <v>150892.66382266307</v>
      </c>
      <c r="Q13" s="19">
        <f t="shared" si="0"/>
        <v>75446.331911331537</v>
      </c>
      <c r="R13" s="9">
        <f t="shared" si="7"/>
        <v>12574.388651888588</v>
      </c>
      <c r="S13" s="19">
        <f t="shared" si="1"/>
        <v>11316.94978669973</v>
      </c>
      <c r="T13" s="19">
        <f t="shared" si="1"/>
        <v>10059.510921510871</v>
      </c>
      <c r="U13" s="19">
        <f t="shared" si="1"/>
        <v>8802.0720563220129</v>
      </c>
      <c r="V13" s="19">
        <f t="shared" si="1"/>
        <v>7544.6331911331536</v>
      </c>
      <c r="W13" s="19">
        <f t="shared" si="1"/>
        <v>6287.1943259442942</v>
      </c>
      <c r="X13" s="19">
        <f t="shared" si="1"/>
        <v>5029.7554607554357</v>
      </c>
      <c r="Y13" s="19">
        <f t="shared" si="1"/>
        <v>3772.3165955665768</v>
      </c>
      <c r="Z13" s="19">
        <f t="shared" si="1"/>
        <v>2514.8777303777179</v>
      </c>
      <c r="AA13" s="19">
        <f t="shared" si="1"/>
        <v>1257.4388651888589</v>
      </c>
      <c r="AB13" s="9">
        <f t="shared" si="8"/>
        <v>209.57314419814313</v>
      </c>
      <c r="AC13" s="19">
        <f t="shared" si="2"/>
        <v>188.61582977832884</v>
      </c>
      <c r="AD13" s="19">
        <f t="shared" si="2"/>
        <v>167.65851535851453</v>
      </c>
      <c r="AE13" s="19">
        <f t="shared" si="2"/>
        <v>146.70120093870023</v>
      </c>
      <c r="AF13" s="19">
        <f t="shared" si="2"/>
        <v>125.74388651888589</v>
      </c>
      <c r="AG13" s="19">
        <f t="shared" si="2"/>
        <v>104.78657209907156</v>
      </c>
      <c r="AH13" s="19">
        <f t="shared" si="2"/>
        <v>83.829257679257267</v>
      </c>
      <c r="AI13" s="19">
        <f t="shared" si="2"/>
        <v>62.871943259442943</v>
      </c>
      <c r="AJ13" s="19">
        <f t="shared" si="2"/>
        <v>41.914628839628634</v>
      </c>
      <c r="AK13" s="19">
        <f t="shared" si="2"/>
        <v>20.957314419814317</v>
      </c>
      <c r="AL13" s="9">
        <f t="shared" si="9"/>
        <v>8.7322143415892963</v>
      </c>
      <c r="AM13" s="19">
        <f t="shared" si="3"/>
        <v>7.8589929074303688</v>
      </c>
      <c r="AN13" s="19">
        <f t="shared" si="3"/>
        <v>6.9857714732714387</v>
      </c>
      <c r="AO13" s="19">
        <f t="shared" si="3"/>
        <v>6.1125500391125094</v>
      </c>
      <c r="AP13" s="19">
        <f t="shared" si="3"/>
        <v>5.2393286049535783</v>
      </c>
      <c r="AQ13" s="19">
        <f t="shared" si="3"/>
        <v>4.3661071707946482</v>
      </c>
      <c r="AR13" s="19">
        <f t="shared" si="3"/>
        <v>3.4928857366357193</v>
      </c>
      <c r="AS13" s="19">
        <f t="shared" si="3"/>
        <v>2.6196643024767892</v>
      </c>
      <c r="AT13" s="19">
        <f t="shared" si="3"/>
        <v>1.7464428683178597</v>
      </c>
      <c r="AU13" s="23">
        <f t="shared" si="3"/>
        <v>0.87322143415892983</v>
      </c>
    </row>
    <row r="14" spans="1:47" x14ac:dyDescent="0.4">
      <c r="C14" s="17"/>
      <c r="D14" s="18" t="s">
        <v>1</v>
      </c>
      <c r="E14" s="19">
        <v>248</v>
      </c>
      <c r="F14" s="19">
        <f t="shared" si="4"/>
        <v>6.3589743589743586</v>
      </c>
      <c r="G14" s="19">
        <f t="shared" si="5"/>
        <v>53155.370210256304</v>
      </c>
      <c r="H14" s="9">
        <f t="shared" si="6"/>
        <v>531553.70210256299</v>
      </c>
      <c r="I14" s="19">
        <f t="shared" si="0"/>
        <v>478398.33189230674</v>
      </c>
      <c r="J14" s="19">
        <f t="shared" si="0"/>
        <v>425242.96168205043</v>
      </c>
      <c r="K14" s="19">
        <f t="shared" si="0"/>
        <v>372087.59147179412</v>
      </c>
      <c r="L14" s="19">
        <f t="shared" si="0"/>
        <v>318932.22126153781</v>
      </c>
      <c r="M14" s="19">
        <f t="shared" si="0"/>
        <v>265776.8510512815</v>
      </c>
      <c r="N14" s="19">
        <f t="shared" si="0"/>
        <v>212621.48084102522</v>
      </c>
      <c r="O14" s="19">
        <f t="shared" si="0"/>
        <v>159466.1106307689</v>
      </c>
      <c r="P14" s="19">
        <f t="shared" si="0"/>
        <v>106310.74042051261</v>
      </c>
      <c r="Q14" s="19">
        <f t="shared" si="0"/>
        <v>53155.370210256304</v>
      </c>
      <c r="R14" s="9">
        <f t="shared" si="7"/>
        <v>8859.2283683760506</v>
      </c>
      <c r="S14" s="19">
        <f t="shared" si="1"/>
        <v>7973.3055315384454</v>
      </c>
      <c r="T14" s="19">
        <f t="shared" si="1"/>
        <v>7087.3826947008401</v>
      </c>
      <c r="U14" s="19">
        <f t="shared" si="1"/>
        <v>6201.4598578632349</v>
      </c>
      <c r="V14" s="19">
        <f t="shared" si="1"/>
        <v>5315.5370210256306</v>
      </c>
      <c r="W14" s="19">
        <f t="shared" si="1"/>
        <v>4429.6141841880253</v>
      </c>
      <c r="X14" s="19">
        <f t="shared" si="1"/>
        <v>3543.6913473504201</v>
      </c>
      <c r="Y14" s="19">
        <f t="shared" si="1"/>
        <v>2657.7685105128153</v>
      </c>
      <c r="Z14" s="19">
        <f t="shared" si="1"/>
        <v>1771.84567367521</v>
      </c>
      <c r="AA14" s="19">
        <f t="shared" si="1"/>
        <v>885.92283683760502</v>
      </c>
      <c r="AB14" s="9">
        <f t="shared" si="8"/>
        <v>147.65380613960085</v>
      </c>
      <c r="AC14" s="19">
        <f t="shared" si="2"/>
        <v>132.88842552564077</v>
      </c>
      <c r="AD14" s="19">
        <f t="shared" si="2"/>
        <v>118.12304491168067</v>
      </c>
      <c r="AE14" s="19">
        <f t="shared" si="2"/>
        <v>103.35766429772058</v>
      </c>
      <c r="AF14" s="19">
        <f t="shared" si="2"/>
        <v>88.592283683760513</v>
      </c>
      <c r="AG14" s="19">
        <f t="shared" si="2"/>
        <v>73.826903069800423</v>
      </c>
      <c r="AH14" s="19">
        <f t="shared" si="2"/>
        <v>59.061522455840333</v>
      </c>
      <c r="AI14" s="19">
        <f t="shared" si="2"/>
        <v>44.296141841880257</v>
      </c>
      <c r="AJ14" s="19">
        <f t="shared" si="2"/>
        <v>29.530761227920166</v>
      </c>
      <c r="AK14" s="19">
        <f t="shared" si="2"/>
        <v>14.765380613960083</v>
      </c>
      <c r="AL14" s="9">
        <f t="shared" si="9"/>
        <v>6.1522419224833689</v>
      </c>
      <c r="AM14" s="19">
        <f t="shared" si="3"/>
        <v>5.5370177302350321</v>
      </c>
      <c r="AN14" s="19">
        <f t="shared" si="3"/>
        <v>4.9217935379866944</v>
      </c>
      <c r="AO14" s="19">
        <f t="shared" si="3"/>
        <v>4.3065693457383576</v>
      </c>
      <c r="AP14" s="19">
        <f t="shared" si="3"/>
        <v>3.6913451534900212</v>
      </c>
      <c r="AQ14" s="19">
        <f t="shared" si="3"/>
        <v>3.0761209612416844</v>
      </c>
      <c r="AR14" s="19">
        <f t="shared" si="3"/>
        <v>2.4608967689933472</v>
      </c>
      <c r="AS14" s="19">
        <f t="shared" si="3"/>
        <v>1.8456725767450106</v>
      </c>
      <c r="AT14" s="19">
        <f t="shared" si="3"/>
        <v>1.2304483844966736</v>
      </c>
      <c r="AU14" s="23">
        <f t="shared" si="3"/>
        <v>0.6152241922483368</v>
      </c>
    </row>
    <row r="15" spans="1:47" x14ac:dyDescent="0.4">
      <c r="C15" s="17"/>
      <c r="D15" s="18" t="s">
        <v>2</v>
      </c>
      <c r="E15" s="19">
        <v>119</v>
      </c>
      <c r="F15" s="19">
        <f t="shared" si="4"/>
        <v>3.0512820512820511</v>
      </c>
      <c r="G15" s="19">
        <f t="shared" si="5"/>
        <v>25506.00425411492</v>
      </c>
      <c r="H15" s="9">
        <f t="shared" si="6"/>
        <v>255060.04254114919</v>
      </c>
      <c r="I15" s="19">
        <f t="shared" si="0"/>
        <v>229554.03828703429</v>
      </c>
      <c r="J15" s="19">
        <f t="shared" si="0"/>
        <v>204048.03403291936</v>
      </c>
      <c r="K15" s="19">
        <f t="shared" si="0"/>
        <v>178542.02977880443</v>
      </c>
      <c r="L15" s="19">
        <f t="shared" si="0"/>
        <v>153036.02552468952</v>
      </c>
      <c r="M15" s="19">
        <f t="shared" si="0"/>
        <v>127530.02127057459</v>
      </c>
      <c r="N15" s="19">
        <f t="shared" si="0"/>
        <v>102024.01701645968</v>
      </c>
      <c r="O15" s="19">
        <f t="shared" si="0"/>
        <v>76518.012762344762</v>
      </c>
      <c r="P15" s="19">
        <f t="shared" si="0"/>
        <v>51012.008508229839</v>
      </c>
      <c r="Q15" s="19">
        <f t="shared" si="0"/>
        <v>25506.00425411492</v>
      </c>
      <c r="R15" s="9">
        <f t="shared" si="7"/>
        <v>4251.000709019153</v>
      </c>
      <c r="S15" s="19">
        <f t="shared" si="1"/>
        <v>3825.900638117238</v>
      </c>
      <c r="T15" s="19">
        <f t="shared" si="1"/>
        <v>3400.8005672153226</v>
      </c>
      <c r="U15" s="19">
        <f t="shared" si="1"/>
        <v>2975.7004963134073</v>
      </c>
      <c r="V15" s="19">
        <f t="shared" si="1"/>
        <v>2550.6004254114919</v>
      </c>
      <c r="W15" s="19">
        <f t="shared" si="1"/>
        <v>2125.5003545095765</v>
      </c>
      <c r="X15" s="19">
        <f t="shared" si="1"/>
        <v>1700.4002836076613</v>
      </c>
      <c r="Y15" s="19">
        <f t="shared" si="1"/>
        <v>1275.3002127057459</v>
      </c>
      <c r="Z15" s="19">
        <f t="shared" si="1"/>
        <v>850.20014180383066</v>
      </c>
      <c r="AA15" s="19">
        <f t="shared" si="1"/>
        <v>425.10007090191533</v>
      </c>
      <c r="AB15" s="9">
        <f t="shared" si="8"/>
        <v>70.850011816985884</v>
      </c>
      <c r="AC15" s="19">
        <f t="shared" si="2"/>
        <v>63.765010635287304</v>
      </c>
      <c r="AD15" s="19">
        <f t="shared" si="2"/>
        <v>56.68000945358871</v>
      </c>
      <c r="AE15" s="19">
        <f t="shared" si="2"/>
        <v>49.595008271890123</v>
      </c>
      <c r="AF15" s="19">
        <f t="shared" si="2"/>
        <v>42.510007090191529</v>
      </c>
      <c r="AG15" s="19">
        <f t="shared" si="2"/>
        <v>35.425005908492942</v>
      </c>
      <c r="AH15" s="19">
        <f t="shared" si="2"/>
        <v>28.340004726794355</v>
      </c>
      <c r="AI15" s="19">
        <f t="shared" si="2"/>
        <v>21.255003545095764</v>
      </c>
      <c r="AJ15" s="19">
        <f t="shared" si="2"/>
        <v>14.170002363397177</v>
      </c>
      <c r="AK15" s="19">
        <f t="shared" si="2"/>
        <v>7.0850011816985887</v>
      </c>
      <c r="AL15" s="9">
        <f t="shared" si="9"/>
        <v>2.9520838257077453</v>
      </c>
      <c r="AM15" s="19">
        <f t="shared" si="3"/>
        <v>2.656875443136971</v>
      </c>
      <c r="AN15" s="19">
        <f t="shared" si="3"/>
        <v>2.3616670605661962</v>
      </c>
      <c r="AO15" s="19">
        <f t="shared" si="3"/>
        <v>2.0664586779954219</v>
      </c>
      <c r="AP15" s="19">
        <f t="shared" si="3"/>
        <v>1.771250295424647</v>
      </c>
      <c r="AQ15" s="19">
        <f t="shared" si="3"/>
        <v>1.4760419128538727</v>
      </c>
      <c r="AR15" s="19">
        <f t="shared" si="3"/>
        <v>1.1808335302830981</v>
      </c>
      <c r="AS15" s="19">
        <f t="shared" si="3"/>
        <v>0.88562514771232348</v>
      </c>
      <c r="AT15" s="19">
        <f t="shared" si="3"/>
        <v>0.59041676514154906</v>
      </c>
      <c r="AU15" s="23">
        <f t="shared" si="3"/>
        <v>0.29520838257077453</v>
      </c>
    </row>
    <row r="16" spans="1:47" x14ac:dyDescent="0.4">
      <c r="C16" s="17"/>
      <c r="D16" s="18" t="s">
        <v>3</v>
      </c>
      <c r="E16" s="19">
        <v>77</v>
      </c>
      <c r="F16" s="19">
        <f t="shared" si="4"/>
        <v>1.9743589743589745</v>
      </c>
      <c r="G16" s="19">
        <f t="shared" si="5"/>
        <v>16503.885105603775</v>
      </c>
      <c r="H16" s="9">
        <f t="shared" si="6"/>
        <v>165038.85105603776</v>
      </c>
      <c r="I16" s="19">
        <f t="shared" si="0"/>
        <v>148534.96595043398</v>
      </c>
      <c r="J16" s="19">
        <f t="shared" si="0"/>
        <v>132031.0808448302</v>
      </c>
      <c r="K16" s="19">
        <f t="shared" si="0"/>
        <v>115527.19573922642</v>
      </c>
      <c r="L16" s="19">
        <f t="shared" si="0"/>
        <v>99023.310633622648</v>
      </c>
      <c r="M16" s="19">
        <f t="shared" si="0"/>
        <v>82519.425528018881</v>
      </c>
      <c r="N16" s="19">
        <f t="shared" si="0"/>
        <v>66015.540422415099</v>
      </c>
      <c r="O16" s="19">
        <f t="shared" si="0"/>
        <v>49511.655316811324</v>
      </c>
      <c r="P16" s="19">
        <f t="shared" si="0"/>
        <v>33007.770211207549</v>
      </c>
      <c r="Q16" s="19">
        <f t="shared" si="0"/>
        <v>16503.885105603775</v>
      </c>
      <c r="R16" s="9">
        <f t="shared" si="7"/>
        <v>2750.6475176006293</v>
      </c>
      <c r="S16" s="19">
        <f t="shared" si="1"/>
        <v>2475.5827658405665</v>
      </c>
      <c r="T16" s="19">
        <f t="shared" si="1"/>
        <v>2200.5180140805032</v>
      </c>
      <c r="U16" s="19">
        <f t="shared" si="1"/>
        <v>1925.4532623204402</v>
      </c>
      <c r="V16" s="19">
        <f t="shared" si="1"/>
        <v>1650.3885105603774</v>
      </c>
      <c r="W16" s="19">
        <f t="shared" si="1"/>
        <v>1375.3237588003146</v>
      </c>
      <c r="X16" s="19">
        <f t="shared" si="1"/>
        <v>1100.2590070402516</v>
      </c>
      <c r="Y16" s="19">
        <f t="shared" si="1"/>
        <v>825.19425528018871</v>
      </c>
      <c r="Z16" s="19">
        <f t="shared" si="1"/>
        <v>550.12950352012581</v>
      </c>
      <c r="AA16" s="19">
        <f t="shared" si="1"/>
        <v>275.0647517600629</v>
      </c>
      <c r="AB16" s="9">
        <f t="shared" si="8"/>
        <v>45.844125293343822</v>
      </c>
      <c r="AC16" s="19">
        <f t="shared" si="2"/>
        <v>41.259712764009443</v>
      </c>
      <c r="AD16" s="19">
        <f t="shared" si="2"/>
        <v>36.675300234675056</v>
      </c>
      <c r="AE16" s="19">
        <f t="shared" si="2"/>
        <v>32.09088770534067</v>
      </c>
      <c r="AF16" s="19">
        <f t="shared" si="2"/>
        <v>27.50647517600629</v>
      </c>
      <c r="AG16" s="19">
        <f t="shared" si="2"/>
        <v>22.922062646671911</v>
      </c>
      <c r="AH16" s="19">
        <f t="shared" si="2"/>
        <v>18.337650117337528</v>
      </c>
      <c r="AI16" s="19">
        <f t="shared" si="2"/>
        <v>13.753237588003145</v>
      </c>
      <c r="AJ16" s="19">
        <f t="shared" si="2"/>
        <v>9.1688250586687641</v>
      </c>
      <c r="AK16" s="19">
        <f t="shared" si="2"/>
        <v>4.584412529334382</v>
      </c>
      <c r="AL16" s="9">
        <f t="shared" si="9"/>
        <v>1.9101718872226592</v>
      </c>
      <c r="AM16" s="19">
        <f t="shared" si="3"/>
        <v>1.7191546985003934</v>
      </c>
      <c r="AN16" s="19">
        <f t="shared" si="3"/>
        <v>1.5281375097781273</v>
      </c>
      <c r="AO16" s="19">
        <f t="shared" si="3"/>
        <v>1.3371203210558613</v>
      </c>
      <c r="AP16" s="19">
        <f t="shared" si="3"/>
        <v>1.1461031323335955</v>
      </c>
      <c r="AQ16" s="19">
        <f t="shared" si="3"/>
        <v>0.95508594361132959</v>
      </c>
      <c r="AR16" s="19">
        <f t="shared" si="3"/>
        <v>0.76406875488906367</v>
      </c>
      <c r="AS16" s="19">
        <f t="shared" si="3"/>
        <v>0.57305156616679775</v>
      </c>
      <c r="AT16" s="19">
        <f t="shared" si="3"/>
        <v>0.38203437744453184</v>
      </c>
      <c r="AU16" s="23">
        <f t="shared" si="3"/>
        <v>0.19101718872226592</v>
      </c>
    </row>
    <row r="17" spans="3:47" x14ac:dyDescent="0.4">
      <c r="C17" s="17"/>
      <c r="D17" s="18" t="s">
        <v>4</v>
      </c>
      <c r="E17" s="19">
        <v>73</v>
      </c>
      <c r="F17" s="19">
        <f t="shared" si="4"/>
        <v>1.8717948717948718</v>
      </c>
      <c r="G17" s="19">
        <f t="shared" si="5"/>
        <v>15646.540424793187</v>
      </c>
      <c r="H17" s="9">
        <f t="shared" si="6"/>
        <v>156465.40424793187</v>
      </c>
      <c r="I17" s="19">
        <f t="shared" si="0"/>
        <v>140818.8638231387</v>
      </c>
      <c r="J17" s="19">
        <f t="shared" si="0"/>
        <v>125172.3233983455</v>
      </c>
      <c r="K17" s="19">
        <f t="shared" si="0"/>
        <v>109525.78297355231</v>
      </c>
      <c r="L17" s="19">
        <f t="shared" si="0"/>
        <v>93879.242548759124</v>
      </c>
      <c r="M17" s="19">
        <f t="shared" si="0"/>
        <v>78232.702123965937</v>
      </c>
      <c r="N17" s="19">
        <f t="shared" si="0"/>
        <v>62586.16169917275</v>
      </c>
      <c r="O17" s="19">
        <f t="shared" si="0"/>
        <v>46939.621274379562</v>
      </c>
      <c r="P17" s="19">
        <f t="shared" si="0"/>
        <v>31293.080849586375</v>
      </c>
      <c r="Q17" s="19">
        <f t="shared" si="0"/>
        <v>15646.540424793187</v>
      </c>
      <c r="R17" s="9">
        <f t="shared" si="7"/>
        <v>2607.7567374655314</v>
      </c>
      <c r="S17" s="19">
        <f t="shared" si="1"/>
        <v>2346.9810637189785</v>
      </c>
      <c r="T17" s="19">
        <f t="shared" si="1"/>
        <v>2086.2053899724251</v>
      </c>
      <c r="U17" s="19">
        <f t="shared" si="1"/>
        <v>1825.429716225872</v>
      </c>
      <c r="V17" s="19">
        <f t="shared" si="1"/>
        <v>1564.6540424793188</v>
      </c>
      <c r="W17" s="19">
        <f t="shared" si="1"/>
        <v>1303.8783687327657</v>
      </c>
      <c r="X17" s="19">
        <f t="shared" si="1"/>
        <v>1043.1026949862126</v>
      </c>
      <c r="Y17" s="19">
        <f t="shared" si="1"/>
        <v>782.32702123965942</v>
      </c>
      <c r="Z17" s="19">
        <f t="shared" si="1"/>
        <v>521.55134749310628</v>
      </c>
      <c r="AA17" s="19">
        <f t="shared" si="1"/>
        <v>260.77567374655314</v>
      </c>
      <c r="AB17" s="9">
        <f t="shared" si="8"/>
        <v>43.462612291092192</v>
      </c>
      <c r="AC17" s="19">
        <f t="shared" si="2"/>
        <v>39.116351061982975</v>
      </c>
      <c r="AD17" s="19">
        <f t="shared" si="2"/>
        <v>34.770089832873751</v>
      </c>
      <c r="AE17" s="19">
        <f t="shared" si="2"/>
        <v>30.423828603764534</v>
      </c>
      <c r="AF17" s="19">
        <f t="shared" si="2"/>
        <v>26.077567374655313</v>
      </c>
      <c r="AG17" s="19">
        <f t="shared" si="2"/>
        <v>21.731306145546096</v>
      </c>
      <c r="AH17" s="19">
        <f t="shared" si="2"/>
        <v>17.385044916436875</v>
      </c>
      <c r="AI17" s="19">
        <f t="shared" si="2"/>
        <v>13.038783687327657</v>
      </c>
      <c r="AJ17" s="19">
        <f t="shared" si="2"/>
        <v>8.6925224582184377</v>
      </c>
      <c r="AK17" s="19">
        <f t="shared" si="2"/>
        <v>4.3462612291092189</v>
      </c>
      <c r="AL17" s="9">
        <f t="shared" si="9"/>
        <v>1.810942178795508</v>
      </c>
      <c r="AM17" s="19">
        <f t="shared" si="3"/>
        <v>1.6298479609159573</v>
      </c>
      <c r="AN17" s="19">
        <f t="shared" si="3"/>
        <v>1.4487537430364064</v>
      </c>
      <c r="AO17" s="19">
        <f t="shared" si="3"/>
        <v>1.2676595251568556</v>
      </c>
      <c r="AP17" s="19">
        <f t="shared" si="3"/>
        <v>1.0865653072773047</v>
      </c>
      <c r="AQ17" s="19">
        <f t="shared" si="3"/>
        <v>0.905471089397754</v>
      </c>
      <c r="AR17" s="19">
        <f t="shared" si="3"/>
        <v>0.72437687151820318</v>
      </c>
      <c r="AS17" s="19">
        <f t="shared" si="3"/>
        <v>0.54328265363865236</v>
      </c>
      <c r="AT17" s="19">
        <f t="shared" si="3"/>
        <v>0.36218843575910159</v>
      </c>
      <c r="AU17" s="23">
        <f t="shared" si="3"/>
        <v>0.1810942178795508</v>
      </c>
    </row>
    <row r="18" spans="3:47" x14ac:dyDescent="0.4">
      <c r="C18" s="4" t="s">
        <v>18</v>
      </c>
      <c r="D18" s="4" t="s">
        <v>19</v>
      </c>
      <c r="E18" s="4">
        <f>SUM(E3:E17)</f>
        <v>2353</v>
      </c>
      <c r="F18" s="4">
        <f>SUM(F3:F17)</f>
        <v>60.333333333333336</v>
      </c>
      <c r="G18" s="4">
        <f>SUM(G3:G17)</f>
        <v>504333.00848682702</v>
      </c>
      <c r="H18" s="10">
        <f t="shared" ref="H18:Q18" si="10">SUM(H3:H17)</f>
        <v>5043330.08486827</v>
      </c>
      <c r="I18" s="4">
        <f t="shared" si="10"/>
        <v>4538997.0763814431</v>
      </c>
      <c r="J18" s="4">
        <f t="shared" si="10"/>
        <v>4034664.0678946162</v>
      </c>
      <c r="K18" s="4">
        <f t="shared" si="10"/>
        <v>3530331.0594077883</v>
      </c>
      <c r="L18" s="4">
        <f t="shared" si="10"/>
        <v>3025998.0509209614</v>
      </c>
      <c r="M18" s="4">
        <f t="shared" si="10"/>
        <v>2521665.042434135</v>
      </c>
      <c r="N18" s="4">
        <f t="shared" si="10"/>
        <v>2017332.0339473081</v>
      </c>
      <c r="O18" s="4">
        <f t="shared" si="10"/>
        <v>1512999.0254604807</v>
      </c>
      <c r="P18" s="4">
        <f t="shared" si="10"/>
        <v>1008666.016973654</v>
      </c>
      <c r="Q18" s="4">
        <f t="shared" si="10"/>
        <v>504333.00848682702</v>
      </c>
      <c r="R18" s="10">
        <f t="shared" ref="R18" si="11">SUM(R3:R17)</f>
        <v>84055.50141447116</v>
      </c>
      <c r="S18" s="4">
        <f t="shared" ref="S18" si="12">SUM(S3:S17)</f>
        <v>75649.951273024039</v>
      </c>
      <c r="T18" s="4">
        <f t="shared" ref="T18" si="13">SUM(T3:T17)</f>
        <v>67244.401131576931</v>
      </c>
      <c r="U18" s="4">
        <f t="shared" ref="U18" si="14">SUM(U3:U17)</f>
        <v>58838.850990129831</v>
      </c>
      <c r="V18" s="4">
        <f t="shared" ref="V18" si="15">SUM(V3:V17)</f>
        <v>50433.300848682695</v>
      </c>
      <c r="W18" s="4">
        <f t="shared" ref="W18" si="16">SUM(W3:W17)</f>
        <v>42027.75070723558</v>
      </c>
      <c r="X18" s="4">
        <f t="shared" ref="X18" si="17">SUM(X3:X17)</f>
        <v>33622.200565788466</v>
      </c>
      <c r="Y18" s="4">
        <f t="shared" ref="Y18" si="18">SUM(Y3:Y17)</f>
        <v>25216.650424341347</v>
      </c>
      <c r="Z18" s="4">
        <f t="shared" ref="Z18" si="19">SUM(Z3:Z17)</f>
        <v>16811.100282894233</v>
      </c>
      <c r="AA18" s="4">
        <f t="shared" ref="AA18" si="20">SUM(AA3:AA17)</f>
        <v>8405.5501414471164</v>
      </c>
      <c r="AB18" s="10">
        <f t="shared" ref="AB18" si="21">SUM(AB3:AB17)</f>
        <v>1400.9250235745194</v>
      </c>
      <c r="AC18" s="4">
        <f t="shared" ref="AC18" si="22">SUM(AC3:AC17)</f>
        <v>1260.8325212170676</v>
      </c>
      <c r="AD18" s="4">
        <f t="shared" ref="AD18" si="23">SUM(AD3:AD17)</f>
        <v>1120.7400188596155</v>
      </c>
      <c r="AE18" s="4">
        <f t="shared" ref="AE18" si="24">SUM(AE3:AE17)</f>
        <v>980.64751650216363</v>
      </c>
      <c r="AF18" s="4">
        <f t="shared" ref="AF18" si="25">SUM(AF3:AF17)</f>
        <v>840.55501414471166</v>
      </c>
      <c r="AG18" s="4">
        <f t="shared" ref="AG18" si="26">SUM(AG3:AG17)</f>
        <v>700.4625117872597</v>
      </c>
      <c r="AH18" s="4">
        <f t="shared" ref="AH18" si="27">SUM(AH3:AH17)</f>
        <v>560.37000942980774</v>
      </c>
      <c r="AI18" s="4">
        <f t="shared" ref="AI18" si="28">SUM(AI3:AI17)</f>
        <v>420.27750707235583</v>
      </c>
      <c r="AJ18" s="4">
        <f t="shared" ref="AJ18" si="29">SUM(AJ3:AJ17)</f>
        <v>280.18500471490387</v>
      </c>
      <c r="AK18" s="4">
        <f t="shared" ref="AK18" si="30">SUM(AK3:AK17)</f>
        <v>140.09250235745193</v>
      </c>
      <c r="AL18" s="10">
        <f t="shared" ref="AL18" si="31">SUM(AL3:AL17)</f>
        <v>58.371875982271646</v>
      </c>
      <c r="AM18" s="4">
        <f t="shared" ref="AM18" si="32">SUM(AM3:AM17)</f>
        <v>52.534688384044486</v>
      </c>
      <c r="AN18" s="4">
        <f t="shared" ref="AN18" si="33">SUM(AN3:AN17)</f>
        <v>46.697500785817311</v>
      </c>
      <c r="AO18" s="4">
        <f t="shared" ref="AO18" si="34">SUM(AO3:AO17)</f>
        <v>40.860313187590151</v>
      </c>
      <c r="AP18" s="4">
        <f t="shared" ref="AP18" si="35">SUM(AP3:AP17)</f>
        <v>35.023125589362984</v>
      </c>
      <c r="AQ18" s="4">
        <f t="shared" ref="AQ18" si="36">SUM(AQ3:AQ17)</f>
        <v>29.185937991135823</v>
      </c>
      <c r="AR18" s="4">
        <f t="shared" ref="AR18" si="37">SUM(AR3:AR17)</f>
        <v>23.348750392908656</v>
      </c>
      <c r="AS18" s="4">
        <f t="shared" ref="AS18" si="38">SUM(AS3:AS17)</f>
        <v>17.511562794681492</v>
      </c>
      <c r="AT18" s="4">
        <f t="shared" ref="AT18" si="39">SUM(AT3:AT17)</f>
        <v>11.674375196454328</v>
      </c>
      <c r="AU18" s="24">
        <f t="shared" ref="AU18" si="40">SUM(AU3:AU17)</f>
        <v>5.8371875982271639</v>
      </c>
    </row>
  </sheetData>
  <mergeCells count="7">
    <mergeCell ref="H1:Q1"/>
    <mergeCell ref="R1:AA1"/>
    <mergeCell ref="AB1:AK1"/>
    <mergeCell ref="AL1:AU1"/>
    <mergeCell ref="C3:C6"/>
    <mergeCell ref="C7:C9"/>
    <mergeCell ref="C10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Segura Pacheco</dc:creator>
  <cp:lastModifiedBy>Juan Esteban Segura Pacheco</cp:lastModifiedBy>
  <dcterms:created xsi:type="dcterms:W3CDTF">2025-02-24T02:48:35Z</dcterms:created>
  <dcterms:modified xsi:type="dcterms:W3CDTF">2025-02-24T05:17:38Z</dcterms:modified>
</cp:coreProperties>
</file>